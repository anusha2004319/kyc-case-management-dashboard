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1A7E369B-4863-40E8-B853-A8F2C3AA14DA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Case Pipeline" sheetId="1" r:id="rId1"/>
    <sheet name="KPI Summary" sheetId="2" r:id="rId2"/>
    <sheet name="Overdue &amp; Escalations" sheetId="3" r:id="rId3"/>
    <sheet name="Document Checklist" sheetId="4" r:id="rId4"/>
  </sheets>
  <definedNames>
    <definedName name="_xlnm._FilterDatabase" localSheetId="0" hidden="1">'Case Pipeline'!$A$2:$Q$34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D7" i="2"/>
  <c r="A7" i="2"/>
  <c r="E17" i="2"/>
  <c r="D17" i="2"/>
  <c r="C17" i="2"/>
  <c r="F17" i="2" s="1"/>
  <c r="B17" i="2"/>
  <c r="I23" i="2"/>
  <c r="J23" i="2" s="1"/>
  <c r="I22" i="2"/>
  <c r="J22" i="2" s="1"/>
  <c r="I21" i="2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L34" i="1"/>
  <c r="H34" i="1"/>
  <c r="L33" i="1"/>
  <c r="H33" i="1"/>
  <c r="L32" i="1"/>
  <c r="H32" i="1"/>
  <c r="L31" i="1"/>
  <c r="H31" i="1"/>
  <c r="L30" i="1"/>
  <c r="H30" i="1"/>
  <c r="L29" i="1"/>
  <c r="H29" i="1"/>
  <c r="L28" i="1"/>
  <c r="H28" i="1"/>
  <c r="L27" i="1"/>
  <c r="H27" i="1"/>
  <c r="L26" i="1"/>
  <c r="H26" i="1"/>
  <c r="L25" i="1"/>
  <c r="H25" i="1"/>
  <c r="L24" i="1"/>
  <c r="H24" i="1"/>
  <c r="L23" i="1"/>
  <c r="H23" i="1"/>
  <c r="L22" i="1"/>
  <c r="H22" i="1"/>
  <c r="L21" i="1"/>
  <c r="H21" i="1"/>
  <c r="L20" i="1"/>
  <c r="H20" i="1"/>
  <c r="L19" i="1"/>
  <c r="H19" i="1"/>
  <c r="L18" i="1"/>
  <c r="H18" i="1"/>
  <c r="L17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L6" i="1"/>
  <c r="H6" i="1"/>
  <c r="L5" i="1"/>
  <c r="H5" i="1"/>
  <c r="J21" i="2"/>
  <c r="J7" i="2" l="1"/>
</calcChain>
</file>

<file path=xl/sharedStrings.xml><?xml version="1.0" encoding="utf-8"?>
<sst xmlns="http://schemas.openxmlformats.org/spreadsheetml/2006/main" count="770" uniqueCount="239">
  <si>
    <t>🏦  KYC CASE MANAGEMENT DASHBOARD</t>
  </si>
  <si>
    <t>Know Your Customer · Periodic Review &amp; Onboarding Pipeline  |  Generated: 18 Jun 2026</t>
  </si>
  <si>
    <t>Case ID</t>
  </si>
  <si>
    <t>GreenLeaf Agro Pvt Ltd</t>
  </si>
  <si>
    <t>Entity Type</t>
  </si>
  <si>
    <t>High Risk</t>
  </si>
  <si>
    <t>Anusha Maram</t>
  </si>
  <si>
    <t>Assigned Date</t>
  </si>
  <si>
    <t>Due Date</t>
  </si>
  <si>
    <t>Days Remaining</t>
  </si>
  <si>
    <t>Status</t>
  </si>
  <si>
    <t>Documents Received</t>
  </si>
  <si>
    <t>Documents Required</t>
  </si>
  <si>
    <t>Doc Completion %</t>
  </si>
  <si>
    <t>Escalated?</t>
  </si>
  <si>
    <t>UBO Verification Required</t>
  </si>
  <si>
    <t>Last Action</t>
  </si>
  <si>
    <t>Last Action Date</t>
  </si>
  <si>
    <t>Approver Notes</t>
  </si>
  <si>
    <t>KYC-2025-0001</t>
  </si>
  <si>
    <t>Sunrise Logistics Pvt Ltd</t>
  </si>
  <si>
    <t>Sole Trader</t>
  </si>
  <si>
    <t>Medium Risk</t>
  </si>
  <si>
    <t>Priya Sharma</t>
  </si>
  <si>
    <t>04/05/2026</t>
  </si>
  <si>
    <t>03/06/2026</t>
  </si>
  <si>
    <t>On Hold</t>
  </si>
  <si>
    <t>No</t>
  </si>
  <si>
    <t>PEP Match</t>
  </si>
  <si>
    <t>Chased client for UBO details</t>
  </si>
  <si>
    <t>10/06/2026</t>
  </si>
  <si>
    <t>UBO chain needs further clarification</t>
  </si>
  <si>
    <t>KYC-2025-0002</t>
  </si>
  <si>
    <t>TechNova Solutions Pvt Ltd</t>
  </si>
  <si>
    <t>LLC</t>
  </si>
  <si>
    <t>Low Risk</t>
  </si>
  <si>
    <t>Arjun Mehta</t>
  </si>
  <si>
    <t>07/05/2026</t>
  </si>
  <si>
    <t>27/05/2026</t>
  </si>
  <si>
    <t>Pending</t>
  </si>
  <si>
    <t>Missing Incorporation Documents</t>
  </si>
  <si>
    <t>Approver feedback actioned</t>
  </si>
  <si>
    <t>15/06/2026</t>
  </si>
  <si>
    <t>Outstanding – follow up with client</t>
  </si>
  <si>
    <t>KYC-2025-0003</t>
  </si>
  <si>
    <t>Bharat Retail Ventures Pvt Ltd</t>
  </si>
  <si>
    <t>Trust</t>
  </si>
  <si>
    <t>Sofia Chen</t>
  </si>
  <si>
    <t>03/05/2026</t>
  </si>
  <si>
    <t>23/05/2026</t>
  </si>
  <si>
    <t>Escalated</t>
  </si>
  <si>
    <t>Yes</t>
  </si>
  <si>
    <t>Complex Ownership Structure</t>
  </si>
  <si>
    <t>Case submitted for approval</t>
  </si>
  <si>
    <t>16/06/2026</t>
  </si>
  <si>
    <t>KYC-2025-0004</t>
  </si>
  <si>
    <t>Apex Manufacturing LLP</t>
  </si>
  <si>
    <t>Partnership</t>
  </si>
  <si>
    <t>17/05/2026</t>
  </si>
  <si>
    <t>In Review</t>
  </si>
  <si>
    <t>Adverse Media Match</t>
  </si>
  <si>
    <t>Uploaded docs to system</t>
  </si>
  <si>
    <t>13/06/2026</t>
  </si>
  <si>
    <t>High-risk jurisdiction – SME review required</t>
  </si>
  <si>
    <t>KYC-2025-0005</t>
  </si>
  <si>
    <t>Future Foods Pvt Ltd</t>
  </si>
  <si>
    <t>28/05/2026</t>
  </si>
  <si>
    <t>11/06/2026</t>
  </si>
  <si>
    <t>Sanctions Screening Alert</t>
  </si>
  <si>
    <t>14/06/2026</t>
  </si>
  <si>
    <t>KYC-2025-0006</t>
  </si>
  <si>
    <t>Urban Infra Projects Ltd</t>
  </si>
  <si>
    <t>Private Company</t>
  </si>
  <si>
    <t>24/05/2026</t>
  </si>
  <si>
    <t>Awaiting Docs</t>
  </si>
  <si>
    <t>KYC-2025-0007</t>
  </si>
  <si>
    <t>Zenith Healthcare Trust</t>
  </si>
  <si>
    <t>20/04/2026</t>
  </si>
  <si>
    <t>20/05/2026</t>
  </si>
  <si>
    <t>All docs verified – approved</t>
  </si>
  <si>
    <t>KYC-2025-0008</t>
  </si>
  <si>
    <t>02/05/2026</t>
  </si>
  <si>
    <t>01/06/2026</t>
  </si>
  <si>
    <t>Completed initial KYC review</t>
  </si>
  <si>
    <t>Awaiting updated proof of address</t>
  </si>
  <si>
    <t>KYC-2025-0009</t>
  </si>
  <si>
    <t>18/06/2026</t>
  </si>
  <si>
    <t>KYC-2025-0010</t>
  </si>
  <si>
    <t>KYC-2025-0011</t>
  </si>
  <si>
    <t>09/06/2026</t>
  </si>
  <si>
    <t>KYC-2025-0012</t>
  </si>
  <si>
    <t>06/06/2026</t>
  </si>
  <si>
    <t>08/06/2026</t>
  </si>
  <si>
    <t>KYC-2025-0013</t>
  </si>
  <si>
    <t>24/04/2026</t>
  </si>
  <si>
    <t>14/05/2026</t>
  </si>
  <si>
    <t>Approved</t>
  </si>
  <si>
    <t>KYC-2025-0014</t>
  </si>
  <si>
    <t>03/07/2026</t>
  </si>
  <si>
    <t>12/06/2026</t>
  </si>
  <si>
    <t>KYC-2025-0015</t>
  </si>
  <si>
    <t>15/05/2026</t>
  </si>
  <si>
    <t>Certificate of Incorporation expired</t>
  </si>
  <si>
    <t>KYC-2025-0016</t>
  </si>
  <si>
    <t>Public Company</t>
  </si>
  <si>
    <t>21/04/2026</t>
  </si>
  <si>
    <t>11/05/2026</t>
  </si>
  <si>
    <t>KYC-2025-0017</t>
  </si>
  <si>
    <t>06/05/2026</t>
  </si>
  <si>
    <t>05/06/2026</t>
  </si>
  <si>
    <t>Sent document request email</t>
  </si>
  <si>
    <t>KYC-2025-0018</t>
  </si>
  <si>
    <t>08/07/2026</t>
  </si>
  <si>
    <t>KYC-2025-0019</t>
  </si>
  <si>
    <t>25/05/2026</t>
  </si>
  <si>
    <t>Escalated to SME</t>
  </si>
  <si>
    <t>KYC-2025-0020</t>
  </si>
  <si>
    <t>21/05/2026</t>
  </si>
  <si>
    <t>KYC-2025-0021</t>
  </si>
  <si>
    <t>30/05/2026</t>
  </si>
  <si>
    <t>19/06/2026</t>
  </si>
  <si>
    <t>KYC-2025-0022</t>
  </si>
  <si>
    <t>KYC-2025-0023</t>
  </si>
  <si>
    <t>KYC-2025-0024</t>
  </si>
  <si>
    <t>28/04/2026</t>
  </si>
  <si>
    <t>KYC-2025-0025</t>
  </si>
  <si>
    <t>10/05/2026</t>
  </si>
  <si>
    <t>KYC-2025-0026</t>
  </si>
  <si>
    <t>30/06/2026</t>
  </si>
  <si>
    <t>KYC-2025-0027</t>
  </si>
  <si>
    <t>31/05/2026</t>
  </si>
  <si>
    <t>KYC-2025-0028</t>
  </si>
  <si>
    <t>05/05/2026</t>
  </si>
  <si>
    <t>KYC-2025-0029</t>
  </si>
  <si>
    <t>27/04/2026</t>
  </si>
  <si>
    <t>KYC-2025-0030</t>
  </si>
  <si>
    <t>📊  KYC ANALYST PERFORMANCE &amp; KPI SUMMARY</t>
  </si>
  <si>
    <t>Reporting Period: 19 May 2026 – 18 Jun 2026</t>
  </si>
  <si>
    <t>Total Cases</t>
  </si>
  <si>
    <t>Overdue</t>
  </si>
  <si>
    <t>ANALYST PERFORMANCE BREAKDOWN</t>
  </si>
  <si>
    <t>CASE STATUS BREAKDOWN</t>
  </si>
  <si>
    <t>Analyst</t>
  </si>
  <si>
    <t>Avg Doc Completion</t>
  </si>
  <si>
    <t>Approval Rate</t>
  </si>
  <si>
    <t>Count</t>
  </si>
  <si>
    <t>% of Total</t>
  </si>
  <si>
    <t>James Okafor</t>
  </si>
  <si>
    <t>Laura Walsh</t>
  </si>
  <si>
    <t>RISK RATING DISTRIBUTION</t>
  </si>
  <si>
    <t>Risk Rating</t>
  </si>
  <si>
    <t>Low</t>
  </si>
  <si>
    <t>Medium</t>
  </si>
  <si>
    <t>High</t>
  </si>
  <si>
    <t>🚨  OVERDUE CASES &amp; ESCALATION TRACKER</t>
  </si>
  <si>
    <t>Review this sheet daily – all cases shown require immediate action</t>
  </si>
  <si>
    <t>⏰  OVERDUE CASES (Due Date Passed)</t>
  </si>
  <si>
    <t>Client Name</t>
  </si>
  <si>
    <t>Days Overdue</t>
  </si>
  <si>
    <t>Action Required</t>
  </si>
  <si>
    <t>Client A Group</t>
  </si>
  <si>
    <t>Contact client relationship manager for intervention</t>
  </si>
  <si>
    <t>Client B Ltd</t>
  </si>
  <si>
    <t>04/06/2026</t>
  </si>
  <si>
    <t>Re-send document request with deadline reminder</t>
  </si>
  <si>
    <t>Client C Holdings</t>
  </si>
  <si>
    <t>02/06/2026</t>
  </si>
  <si>
    <t>Escalate to Team Lead – no response in 5+ days</t>
  </si>
  <si>
    <t>Client D Group</t>
  </si>
  <si>
    <t>Flag for SME review – complex structure</t>
  </si>
  <si>
    <t>Client E Ltd</t>
  </si>
  <si>
    <t>Client F Holdings</t>
  </si>
  <si>
    <t>Client G Group</t>
  </si>
  <si>
    <t>17/06/2026</t>
  </si>
  <si>
    <t>Immediately chase client for outstanding documents</t>
  </si>
  <si>
    <t>Client H Ltd</t>
  </si>
  <si>
    <t>🔺  ESCALATED CASES – Pending SME / Team Lead Review</t>
  </si>
  <si>
    <t>Escalation Reason</t>
  </si>
  <si>
    <t>Escalated To</t>
  </si>
  <si>
    <t>Date Escalated</t>
  </si>
  <si>
    <t>SME/TL Notes</t>
  </si>
  <si>
    <t>Target Resolution</t>
  </si>
  <si>
    <t>SME – Compliance</t>
  </si>
  <si>
    <t>Complex UBO chain – reviewing</t>
  </si>
  <si>
    <t>27/06/2026</t>
  </si>
  <si>
    <t>Under Review</t>
  </si>
  <si>
    <t>Client R Holdings</t>
  </si>
  <si>
    <t>Complex ownership structure</t>
  </si>
  <si>
    <t>Jurisdiction risk assessment in progress</t>
  </si>
  <si>
    <t>24/06/2026</t>
  </si>
  <si>
    <t>Client S Group</t>
  </si>
  <si>
    <t>28/06/2026</t>
  </si>
  <si>
    <t>Client Y Group</t>
  </si>
  <si>
    <t>Adverse media hit</t>
  </si>
  <si>
    <t>Adverse media flagged – further checks</t>
  </si>
  <si>
    <t>Client A Holdings</t>
  </si>
  <si>
    <t>Team Lead</t>
  </si>
  <si>
    <t>Awaiting PEP screening results</t>
  </si>
  <si>
    <t>21/06/2026</t>
  </si>
  <si>
    <t>📋  KYC DOCUMENT REQUIREMENTS MATRIX</t>
  </si>
  <si>
    <t>Reference guide for document requirements by entity type and risk level</t>
  </si>
  <si>
    <t>DOCUMENT REQUIREMENTS BY ENTITY TYPE</t>
  </si>
  <si>
    <t>Document Type</t>
  </si>
  <si>
    <t>Beneficiary Schedule</t>
  </si>
  <si>
    <t>–</t>
  </si>
  <si>
    <t>✔ Required</t>
  </si>
  <si>
    <t>Certificate of Formation/Organization</t>
  </si>
  <si>
    <t>Certificate of Incorporation</t>
  </si>
  <si>
    <t>Latest Accounts</t>
  </si>
  <si>
    <t>Latest Annual Report</t>
  </si>
  <si>
    <t>Latest Financial Statements</t>
  </si>
  <si>
    <t>Listing Evidence / Stock Exchange</t>
  </si>
  <si>
    <t>Member Register</t>
  </si>
  <si>
    <t>Memorandum &amp; Articles of Association</t>
  </si>
  <si>
    <t>Operating Agreement</t>
  </si>
  <si>
    <t>Partners Register</t>
  </si>
  <si>
    <t>Partnership Agreement</t>
  </si>
  <si>
    <t>Proof of Address</t>
  </si>
  <si>
    <t>Proof of Business Address</t>
  </si>
  <si>
    <t>Proof of Registered Address</t>
  </si>
  <si>
    <t>Protector Details (if applicable)</t>
  </si>
  <si>
    <t>Register of Directors</t>
  </si>
  <si>
    <t>Register of Shareholders</t>
  </si>
  <si>
    <t>Registered Agent Details</t>
  </si>
  <si>
    <t>Regulatory Filing Evidence</t>
  </si>
  <si>
    <t>Settlor Identification</t>
  </si>
  <si>
    <t>Source of Funds Evidence</t>
  </si>
  <si>
    <t>Source of Wealth Declaration</t>
  </si>
  <si>
    <t>Trust Deed</t>
  </si>
  <si>
    <t>Trustee Identification</t>
  </si>
  <si>
    <t>UBO Declaration</t>
  </si>
  <si>
    <t>UBO Declaration (&gt;25%)</t>
  </si>
  <si>
    <t>📝  IMPORTANT NOTES FOR ANALYSTS</t>
  </si>
  <si>
    <t xml:space="preserve">  1.  All documents must be certified true copies or originals – self-certified not accepted for High/Very High risk</t>
  </si>
  <si>
    <t xml:space="preserve">  2.  UBO threshold: individuals owning or controlling &gt;25% of the entity must be identified and verified</t>
  </si>
  <si>
    <t xml:space="preserve">  3.  Documents must be dated within the last 3 months for proof of address; 12 months for financials</t>
  </si>
  <si>
    <t xml:space="preserve">  4.  High-risk jurisdictions require enhanced due diligence (EDD) – escalate to SME before proceeding</t>
  </si>
  <si>
    <t xml:space="preserve">  5.  PEP screening must be conducted for all directors, UBOs, and authorised signatories</t>
  </si>
  <si>
    <t>Rate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</si>
</sst>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8"/>
      <color rgb="FFF0A500"/>
      <name val="Arial"/>
      <charset val="1"/>
    </font>
    <font>
      <sz val="9"/>
      <color rgb="FFD6E4F0"/>
      <name val="Arial"/>
      <charset val="1"/>
    </font>
    <font>
      <b/>
      <sz val="10"/>
      <color rgb="FFFFFFFF"/>
      <name val="Arial"/>
      <charset val="1"/>
    </font>
    <font>
      <sz val="10"/>
      <color rgb="FF404040"/>
      <name val="Arial"/>
      <charset val="1"/>
    </font>
    <font>
      <b/>
      <sz val="16"/>
      <color rgb="FFF0A500"/>
      <name val="Arial"/>
      <charset val="1"/>
    </font>
    <font>
      <b/>
      <sz val="28"/>
      <color rgb="FF1B3A6B"/>
      <name val="Arial"/>
      <charset val="1"/>
    </font>
    <font>
      <b/>
      <sz val="28"/>
      <color rgb="FF217346"/>
      <name val="Arial"/>
      <charset val="1"/>
    </font>
    <font>
      <b/>
      <sz val="28"/>
      <color rgb="FFC00000"/>
      <name val="Arial"/>
      <charset val="1"/>
    </font>
    <font>
      <b/>
      <sz val="28"/>
      <color rgb="FFED7D31"/>
      <name val="Arial"/>
      <charset val="1"/>
    </font>
    <font>
      <b/>
      <sz val="11"/>
      <color rgb="FFFFFFFF"/>
      <name val="Arial"/>
      <charset val="1"/>
    </font>
    <font>
      <b/>
      <sz val="16"/>
      <color rgb="FFFFFFFF"/>
      <name val="Arial"/>
      <charset val="1"/>
    </font>
    <font>
      <sz val="9"/>
      <color rgb="FFFFCCCC"/>
      <name val="Arial"/>
      <charset val="1"/>
    </font>
    <font>
      <sz val="9"/>
      <color rgb="FFE2EFDA"/>
      <name val="Arial"/>
      <charset val="1"/>
    </font>
    <font>
      <sz val="10"/>
      <color rgb="FFAAAAAA"/>
      <name val="Arial"/>
      <charset val="1"/>
    </font>
    <font>
      <b/>
      <sz val="10"/>
      <color rgb="FF217346"/>
      <name val="Arial"/>
      <charset val="1"/>
    </font>
    <font>
      <sz val="9"/>
      <color rgb="FF40404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1A7A8A"/>
        <bgColor rgb="FF217346"/>
      </patternFill>
    </fill>
    <fill>
      <patternFill patternType="solid">
        <fgColor rgb="FFFFFFFF"/>
        <bgColor rgb="FFF2F4F6"/>
      </patternFill>
    </fill>
    <fill>
      <patternFill patternType="solid">
        <fgColor rgb="FFF2F4F6"/>
        <bgColor rgb="FFFFF0F0"/>
      </patternFill>
    </fill>
    <fill>
      <patternFill patternType="solid">
        <fgColor rgb="FF217346"/>
        <bgColor rgb="FF1A7A8A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DECEA"/>
      </patternFill>
    </fill>
    <fill>
      <patternFill patternType="solid">
        <fgColor rgb="FFFDECEA"/>
        <bgColor rgb="FFFFF0F0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DECEA"/>
      </patternFill>
    </fill>
    <fill>
      <patternFill patternType="solid">
        <fgColor rgb="FFFFF0F0"/>
        <bgColor rgb="FFFDECEA"/>
      </patternFill>
    </fill>
    <fill>
      <patternFill patternType="solid">
        <fgColor rgb="FFF0A500"/>
        <bgColor rgb="FFFFCC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9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9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9" fontId="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9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9" fontId="4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9" fontId="4" fillId="14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 wrapText="1"/>
    </xf>
    <xf numFmtId="0" fontId="0" fillId="6" borderId="0" xfId="0" applyFill="1"/>
    <xf numFmtId="0" fontId="3" fillId="2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6" borderId="2" xfId="0" applyFill="1" applyBorder="1"/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0" fillId="3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5" fillId="2" borderId="0" xfId="0" applyFont="1" applyFill="1" applyAlignment="1">
      <alignment horizontal="center" vertical="center"/>
    </xf>
    <xf numFmtId="0" fontId="0" fillId="2" borderId="2" xfId="0" applyFill="1" applyBorder="1"/>
    <xf numFmtId="0" fontId="12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sz val="10"/>
        <color rgb="FFED7D31"/>
        <name val="Arial"/>
        <charset val="1"/>
      </font>
      <fill>
        <patternFill>
          <bgColor rgb="FFFCE4D6"/>
        </patternFill>
      </fill>
    </dxf>
    <dxf>
      <font>
        <sz val="10"/>
        <color rgb="FF1B3A6B"/>
        <name val="Arial"/>
        <charset val="1"/>
      </font>
      <fill>
        <patternFill>
          <bgColor rgb="FFD6E4F0"/>
        </patternFill>
      </fill>
    </dxf>
    <dxf>
      <font>
        <sz val="10"/>
        <color rgb="FFC00000"/>
        <name val="Arial"/>
        <charset val="1"/>
      </font>
      <fill>
        <patternFill>
          <bgColor rgb="FFFDECEA"/>
        </patternFill>
      </fill>
    </dxf>
    <dxf>
      <font>
        <sz val="10"/>
        <color rgb="FF217346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DECEA"/>
        </patternFill>
      </fill>
    </dxf>
    <dxf>
      <font>
        <sz val="10"/>
        <color rgb="FFFFFFFF"/>
        <name val="Arial"/>
        <charset val="1"/>
      </font>
      <fill>
        <patternFill>
          <bgColor rgb="FF217346"/>
        </patternFill>
      </fill>
    </dxf>
    <dxf>
      <font>
        <sz val="10"/>
        <color rgb="FF404040"/>
        <name val="Arial"/>
        <charset val="1"/>
      </font>
      <fill>
        <patternFill>
          <bgColor rgb="FFF0A500"/>
        </patternFill>
      </fill>
    </dxf>
    <dxf>
      <font>
        <b/>
        <sz val="10"/>
        <color rgb="FFFFFFFF"/>
        <name val="Arial"/>
        <charset val="1"/>
      </font>
      <fill>
        <patternFill>
          <bgColor rgb="FFED7D31"/>
        </patternFill>
      </fill>
    </dxf>
    <dxf>
      <font>
        <b/>
        <sz val="10"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F2F4F6"/>
      <rgbColor rgb="FFE2EFDA"/>
      <rgbColor rgb="FFFCE4D6"/>
      <rgbColor rgb="FFFDECEA"/>
      <rgbColor rgb="FFFFF0F0"/>
      <rgbColor rgb="FFCC99FF"/>
      <rgbColor rgb="FFFFCCCC"/>
      <rgbColor rgb="FF3366FF"/>
      <rgbColor rgb="FF33CCCC"/>
      <rgbColor rgb="FF99CC00"/>
      <rgbColor rgb="FFFFCC00"/>
      <rgbColor rgb="FFF0A500"/>
      <rgbColor rgb="FFED7D31"/>
      <rgbColor rgb="FF666699"/>
      <rgbColor rgb="FFAAAAAA"/>
      <rgbColor rgb="FF1B3A6B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7A8A"/>
  </sheetPr>
  <dimension ref="A1:Q34"/>
  <sheetViews>
    <sheetView showGridLines="0" zoomScale="90" zoomScaleNormal="90" workbookViewId="0">
      <pane ySplit="4" topLeftCell="A5" activePane="bottomLeft" state="frozen"/>
      <selection pane="bottomLeft" activeCell="I7" sqref="I7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20" customWidth="1"/>
    <col min="4" max="4" width="14" customWidth="1"/>
    <col min="5" max="5" width="18" customWidth="1"/>
    <col min="6" max="8" width="16" customWidth="1"/>
    <col min="9" max="12" width="18" customWidth="1"/>
    <col min="13" max="13" width="14" customWidth="1"/>
    <col min="14" max="14" width="24" customWidth="1"/>
    <col min="15" max="15" width="28" customWidth="1"/>
    <col min="16" max="16" width="18" customWidth="1"/>
    <col min="17" max="17" width="32" customWidth="1"/>
  </cols>
  <sheetData>
    <row r="1" spans="1:17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7.5" customHeight="1" x14ac:dyDescent="0.35">
      <c r="A2" s="40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5" customHeight="1" x14ac:dyDescent="0.35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ht="27.75" customHeight="1" x14ac:dyDescent="0.35">
      <c r="A4" s="2" t="s">
        <v>2</v>
      </c>
      <c r="B4" s="2" t="s">
        <v>157</v>
      </c>
      <c r="C4" s="2" t="s">
        <v>4</v>
      </c>
      <c r="D4" s="2" t="s">
        <v>238</v>
      </c>
      <c r="E4" s="2" t="s">
        <v>142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spans="1:17" ht="21.75" customHeight="1" x14ac:dyDescent="0.35">
      <c r="A5" s="3" t="s">
        <v>19</v>
      </c>
      <c r="B5" s="4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5">
        <f t="shared" ref="H5:H34" ca="1" si="0">IFERROR(DATEVALUE(TEXT(G5,"DD/MM/YYYY"))-TODAY(),"")</f>
        <v>-15</v>
      </c>
      <c r="I5" s="3" t="s">
        <v>26</v>
      </c>
      <c r="J5" s="3">
        <v>1</v>
      </c>
      <c r="K5" s="3">
        <v>6</v>
      </c>
      <c r="L5" s="6">
        <f t="shared" ref="L5:L34" si="1">IFERROR(J5/K5,0)</f>
        <v>0.16666666666666666</v>
      </c>
      <c r="M5" s="3" t="s">
        <v>27</v>
      </c>
      <c r="N5" s="4" t="s">
        <v>28</v>
      </c>
      <c r="O5" s="4" t="s">
        <v>29</v>
      </c>
      <c r="P5" s="3" t="s">
        <v>30</v>
      </c>
      <c r="Q5" s="7" t="s">
        <v>31</v>
      </c>
    </row>
    <row r="6" spans="1:17" ht="21.75" customHeight="1" x14ac:dyDescent="0.35">
      <c r="A6" s="8" t="s">
        <v>32</v>
      </c>
      <c r="B6" s="9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10">
        <f t="shared" ca="1" si="0"/>
        <v>-22</v>
      </c>
      <c r="I6" s="8" t="s">
        <v>39</v>
      </c>
      <c r="J6" s="8">
        <v>1</v>
      </c>
      <c r="K6" s="8">
        <v>4</v>
      </c>
      <c r="L6" s="11">
        <f t="shared" si="1"/>
        <v>0.25</v>
      </c>
      <c r="M6" s="8" t="s">
        <v>27</v>
      </c>
      <c r="N6" s="9" t="s">
        <v>40</v>
      </c>
      <c r="O6" s="9" t="s">
        <v>41</v>
      </c>
      <c r="P6" s="8" t="s">
        <v>42</v>
      </c>
      <c r="Q6" s="12" t="s">
        <v>43</v>
      </c>
    </row>
    <row r="7" spans="1:17" ht="21.75" customHeight="1" x14ac:dyDescent="0.35">
      <c r="A7" s="3" t="s">
        <v>44</v>
      </c>
      <c r="B7" s="4" t="s">
        <v>45</v>
      </c>
      <c r="C7" s="3" t="s">
        <v>46</v>
      </c>
      <c r="D7" s="3" t="s">
        <v>5</v>
      </c>
      <c r="E7" s="3" t="s">
        <v>47</v>
      </c>
      <c r="F7" s="3" t="s">
        <v>48</v>
      </c>
      <c r="G7" s="3" t="s">
        <v>49</v>
      </c>
      <c r="H7" s="5">
        <f t="shared" ca="1" si="0"/>
        <v>-26</v>
      </c>
      <c r="I7" s="3" t="s">
        <v>50</v>
      </c>
      <c r="J7" s="3">
        <v>3</v>
      </c>
      <c r="K7" s="3">
        <v>5</v>
      </c>
      <c r="L7" s="6">
        <f t="shared" si="1"/>
        <v>0.6</v>
      </c>
      <c r="M7" s="3" t="s">
        <v>51</v>
      </c>
      <c r="N7" s="4" t="s">
        <v>52</v>
      </c>
      <c r="O7" s="4" t="s">
        <v>53</v>
      </c>
      <c r="P7" s="3" t="s">
        <v>54</v>
      </c>
      <c r="Q7" s="7" t="s">
        <v>43</v>
      </c>
    </row>
    <row r="8" spans="1:17" ht="21.75" customHeight="1" x14ac:dyDescent="0.35">
      <c r="A8" s="8" t="s">
        <v>55</v>
      </c>
      <c r="B8" s="9" t="s">
        <v>56</v>
      </c>
      <c r="C8" s="8" t="s">
        <v>57</v>
      </c>
      <c r="D8" s="8" t="s">
        <v>22</v>
      </c>
      <c r="E8" s="8" t="s">
        <v>6</v>
      </c>
      <c r="F8" s="8" t="s">
        <v>58</v>
      </c>
      <c r="G8" s="8" t="s">
        <v>54</v>
      </c>
      <c r="H8" s="10">
        <f t="shared" ca="1" si="0"/>
        <v>-2</v>
      </c>
      <c r="I8" s="8" t="s">
        <v>59</v>
      </c>
      <c r="J8" s="8">
        <v>2</v>
      </c>
      <c r="K8" s="8">
        <v>5</v>
      </c>
      <c r="L8" s="11">
        <f t="shared" si="1"/>
        <v>0.4</v>
      </c>
      <c r="M8" s="8" t="s">
        <v>27</v>
      </c>
      <c r="N8" s="9" t="s">
        <v>60</v>
      </c>
      <c r="O8" s="9" t="s">
        <v>61</v>
      </c>
      <c r="P8" s="8" t="s">
        <v>62</v>
      </c>
      <c r="Q8" s="12" t="s">
        <v>63</v>
      </c>
    </row>
    <row r="9" spans="1:17" ht="21.75" customHeight="1" x14ac:dyDescent="0.35">
      <c r="A9" s="3" t="s">
        <v>64</v>
      </c>
      <c r="B9" s="4" t="s">
        <v>65</v>
      </c>
      <c r="C9" s="3" t="s">
        <v>57</v>
      </c>
      <c r="D9" s="3" t="s">
        <v>35</v>
      </c>
      <c r="E9" s="3" t="s">
        <v>23</v>
      </c>
      <c r="F9" s="3" t="s">
        <v>66</v>
      </c>
      <c r="G9" s="3" t="s">
        <v>67</v>
      </c>
      <c r="H9" s="5">
        <f t="shared" ca="1" si="0"/>
        <v>-7</v>
      </c>
      <c r="I9" s="3" t="s">
        <v>26</v>
      </c>
      <c r="J9" s="3">
        <v>1</v>
      </c>
      <c r="K9" s="3">
        <v>7</v>
      </c>
      <c r="L9" s="6">
        <f t="shared" si="1"/>
        <v>0.14285714285714285</v>
      </c>
      <c r="M9" s="3" t="s">
        <v>27</v>
      </c>
      <c r="N9" s="4" t="s">
        <v>68</v>
      </c>
      <c r="O9" s="4" t="s">
        <v>41</v>
      </c>
      <c r="P9" s="3" t="s">
        <v>69</v>
      </c>
      <c r="Q9" s="7"/>
    </row>
    <row r="10" spans="1:17" ht="21.75" customHeight="1" x14ac:dyDescent="0.35">
      <c r="A10" s="8" t="s">
        <v>70</v>
      </c>
      <c r="B10" s="9" t="s">
        <v>71</v>
      </c>
      <c r="C10" s="8" t="s">
        <v>72</v>
      </c>
      <c r="D10" s="8" t="s">
        <v>5</v>
      </c>
      <c r="E10" s="8" t="s">
        <v>36</v>
      </c>
      <c r="F10" s="8" t="s">
        <v>24</v>
      </c>
      <c r="G10" s="8" t="s">
        <v>73</v>
      </c>
      <c r="H10" s="10">
        <f t="shared" ca="1" si="0"/>
        <v>-25</v>
      </c>
      <c r="I10" s="8" t="s">
        <v>74</v>
      </c>
      <c r="J10" s="8">
        <v>3</v>
      </c>
      <c r="K10" s="8">
        <v>8</v>
      </c>
      <c r="L10" s="11">
        <f t="shared" si="1"/>
        <v>0.375</v>
      </c>
      <c r="M10" s="8" t="s">
        <v>27</v>
      </c>
      <c r="N10" s="9" t="s">
        <v>15</v>
      </c>
      <c r="O10" s="9" t="s">
        <v>53</v>
      </c>
      <c r="P10" s="8" t="s">
        <v>69</v>
      </c>
      <c r="Q10" s="12" t="s">
        <v>31</v>
      </c>
    </row>
    <row r="11" spans="1:17" ht="21.75" customHeight="1" x14ac:dyDescent="0.35">
      <c r="A11" s="3" t="s">
        <v>75</v>
      </c>
      <c r="B11" s="4" t="s">
        <v>76</v>
      </c>
      <c r="C11" s="3" t="s">
        <v>46</v>
      </c>
      <c r="D11" s="3" t="s">
        <v>22</v>
      </c>
      <c r="E11" s="3" t="s">
        <v>47</v>
      </c>
      <c r="F11" s="3" t="s">
        <v>77</v>
      </c>
      <c r="G11" s="3" t="s">
        <v>78</v>
      </c>
      <c r="H11" s="5">
        <f t="shared" ca="1" si="0"/>
        <v>-29</v>
      </c>
      <c r="I11" s="3" t="s">
        <v>39</v>
      </c>
      <c r="J11" s="3">
        <v>4</v>
      </c>
      <c r="K11" s="3">
        <v>7</v>
      </c>
      <c r="L11" s="6">
        <f t="shared" si="1"/>
        <v>0.5714285714285714</v>
      </c>
      <c r="M11" s="3" t="s">
        <v>27</v>
      </c>
      <c r="N11" s="4" t="s">
        <v>28</v>
      </c>
      <c r="O11" s="4" t="s">
        <v>61</v>
      </c>
      <c r="P11" s="3" t="s">
        <v>62</v>
      </c>
      <c r="Q11" s="7" t="s">
        <v>79</v>
      </c>
    </row>
    <row r="12" spans="1:17" ht="21.75" customHeight="1" x14ac:dyDescent="0.35">
      <c r="A12" s="8" t="s">
        <v>80</v>
      </c>
      <c r="B12" s="9" t="s">
        <v>3</v>
      </c>
      <c r="C12" s="8" t="s">
        <v>34</v>
      </c>
      <c r="D12" s="8" t="s">
        <v>35</v>
      </c>
      <c r="E12" s="8" t="s">
        <v>6</v>
      </c>
      <c r="F12" s="8" t="s">
        <v>81</v>
      </c>
      <c r="G12" s="8" t="s">
        <v>82</v>
      </c>
      <c r="H12" s="10">
        <f t="shared" ca="1" si="0"/>
        <v>-17</v>
      </c>
      <c r="I12" s="8" t="s">
        <v>26</v>
      </c>
      <c r="J12" s="8">
        <v>4</v>
      </c>
      <c r="K12" s="8">
        <v>4</v>
      </c>
      <c r="L12" s="11">
        <f t="shared" si="1"/>
        <v>1</v>
      </c>
      <c r="M12" s="8" t="s">
        <v>27</v>
      </c>
      <c r="N12" s="9" t="s">
        <v>40</v>
      </c>
      <c r="O12" s="9" t="s">
        <v>83</v>
      </c>
      <c r="P12" s="8" t="s">
        <v>67</v>
      </c>
      <c r="Q12" s="12" t="s">
        <v>84</v>
      </c>
    </row>
    <row r="13" spans="1:17" ht="21.75" customHeight="1" x14ac:dyDescent="0.35">
      <c r="A13" s="3" t="s">
        <v>85</v>
      </c>
      <c r="B13" s="4" t="s">
        <v>20</v>
      </c>
      <c r="C13" s="3" t="s">
        <v>72</v>
      </c>
      <c r="D13" s="3" t="s">
        <v>5</v>
      </c>
      <c r="E13" s="3" t="s">
        <v>23</v>
      </c>
      <c r="F13" s="3" t="s">
        <v>38</v>
      </c>
      <c r="G13" s="3" t="s">
        <v>25</v>
      </c>
      <c r="H13" s="5">
        <f t="shared" ca="1" si="0"/>
        <v>-15</v>
      </c>
      <c r="I13" s="3" t="s">
        <v>26</v>
      </c>
      <c r="J13" s="3">
        <v>3</v>
      </c>
      <c r="K13" s="3">
        <v>8</v>
      </c>
      <c r="L13" s="6">
        <f t="shared" si="1"/>
        <v>0.375</v>
      </c>
      <c r="M13" s="3" t="s">
        <v>27</v>
      </c>
      <c r="N13" s="4" t="s">
        <v>52</v>
      </c>
      <c r="O13" s="4" t="s">
        <v>53</v>
      </c>
      <c r="P13" s="3" t="s">
        <v>86</v>
      </c>
      <c r="Q13" s="7"/>
    </row>
    <row r="14" spans="1:17" ht="21.75" customHeight="1" x14ac:dyDescent="0.35">
      <c r="A14" s="8" t="s">
        <v>87</v>
      </c>
      <c r="B14" s="9" t="s">
        <v>33</v>
      </c>
      <c r="C14" s="8" t="s">
        <v>46</v>
      </c>
      <c r="D14" s="8" t="s">
        <v>22</v>
      </c>
      <c r="E14" s="8" t="s">
        <v>36</v>
      </c>
      <c r="F14" s="8" t="s">
        <v>73</v>
      </c>
      <c r="G14" s="8" t="s">
        <v>62</v>
      </c>
      <c r="H14" s="10">
        <f t="shared" ca="1" si="0"/>
        <v>-5</v>
      </c>
      <c r="I14" s="8" t="s">
        <v>39</v>
      </c>
      <c r="J14" s="8">
        <v>4</v>
      </c>
      <c r="K14" s="8">
        <v>5</v>
      </c>
      <c r="L14" s="11">
        <f t="shared" si="1"/>
        <v>0.8</v>
      </c>
      <c r="M14" s="8" t="s">
        <v>27</v>
      </c>
      <c r="N14" s="9" t="s">
        <v>60</v>
      </c>
      <c r="O14" s="9" t="s">
        <v>29</v>
      </c>
      <c r="P14" s="8" t="s">
        <v>67</v>
      </c>
      <c r="Q14" s="12" t="s">
        <v>84</v>
      </c>
    </row>
    <row r="15" spans="1:17" ht="21.75" customHeight="1" x14ac:dyDescent="0.35">
      <c r="A15" s="3" t="s">
        <v>88</v>
      </c>
      <c r="B15" s="4" t="s">
        <v>45</v>
      </c>
      <c r="C15" s="3" t="s">
        <v>34</v>
      </c>
      <c r="D15" s="3" t="s">
        <v>35</v>
      </c>
      <c r="E15" s="3" t="s">
        <v>47</v>
      </c>
      <c r="F15" s="3" t="s">
        <v>48</v>
      </c>
      <c r="G15" s="3" t="s">
        <v>49</v>
      </c>
      <c r="H15" s="5">
        <f t="shared" ca="1" si="0"/>
        <v>-26</v>
      </c>
      <c r="I15" s="3" t="s">
        <v>74</v>
      </c>
      <c r="J15" s="3">
        <v>1</v>
      </c>
      <c r="K15" s="3">
        <v>5</v>
      </c>
      <c r="L15" s="6">
        <f t="shared" si="1"/>
        <v>0.2</v>
      </c>
      <c r="M15" s="3" t="s">
        <v>27</v>
      </c>
      <c r="N15" s="4" t="s">
        <v>68</v>
      </c>
      <c r="O15" s="4" t="s">
        <v>29</v>
      </c>
      <c r="P15" s="3" t="s">
        <v>89</v>
      </c>
      <c r="Q15" s="7" t="s">
        <v>84</v>
      </c>
    </row>
    <row r="16" spans="1:17" ht="21.75" customHeight="1" x14ac:dyDescent="0.35">
      <c r="A16" s="8" t="s">
        <v>90</v>
      </c>
      <c r="B16" s="9" t="s">
        <v>56</v>
      </c>
      <c r="C16" s="8" t="s">
        <v>72</v>
      </c>
      <c r="D16" s="8" t="s">
        <v>5</v>
      </c>
      <c r="E16" s="8" t="s">
        <v>6</v>
      </c>
      <c r="F16" s="8" t="s">
        <v>37</v>
      </c>
      <c r="G16" s="8" t="s">
        <v>91</v>
      </c>
      <c r="H16" s="10">
        <f t="shared" ca="1" si="0"/>
        <v>-12</v>
      </c>
      <c r="I16" s="8" t="s">
        <v>59</v>
      </c>
      <c r="J16" s="8">
        <v>4</v>
      </c>
      <c r="K16" s="8">
        <v>5</v>
      </c>
      <c r="L16" s="11">
        <f t="shared" si="1"/>
        <v>0.8</v>
      </c>
      <c r="M16" s="8" t="s">
        <v>27</v>
      </c>
      <c r="N16" s="9" t="s">
        <v>15</v>
      </c>
      <c r="O16" s="9" t="s">
        <v>83</v>
      </c>
      <c r="P16" s="8" t="s">
        <v>92</v>
      </c>
      <c r="Q16" s="12" t="s">
        <v>79</v>
      </c>
    </row>
    <row r="17" spans="1:17" ht="21.75" customHeight="1" x14ac:dyDescent="0.35">
      <c r="A17" s="3" t="s">
        <v>93</v>
      </c>
      <c r="B17" s="4" t="s">
        <v>65</v>
      </c>
      <c r="C17" s="3" t="s">
        <v>57</v>
      </c>
      <c r="D17" s="3" t="s">
        <v>22</v>
      </c>
      <c r="E17" s="3" t="s">
        <v>23</v>
      </c>
      <c r="F17" s="3" t="s">
        <v>94</v>
      </c>
      <c r="G17" s="3" t="s">
        <v>95</v>
      </c>
      <c r="H17" s="5">
        <f t="shared" ca="1" si="0"/>
        <v>-35</v>
      </c>
      <c r="I17" s="3" t="s">
        <v>96</v>
      </c>
      <c r="J17" s="3">
        <v>3</v>
      </c>
      <c r="K17" s="3">
        <v>4</v>
      </c>
      <c r="L17" s="6">
        <f t="shared" si="1"/>
        <v>0.75</v>
      </c>
      <c r="M17" s="3" t="s">
        <v>27</v>
      </c>
      <c r="N17" s="4" t="s">
        <v>28</v>
      </c>
      <c r="O17" s="4" t="s">
        <v>61</v>
      </c>
      <c r="P17" s="3" t="s">
        <v>30</v>
      </c>
      <c r="Q17" s="7"/>
    </row>
    <row r="18" spans="1:17" ht="21.75" customHeight="1" x14ac:dyDescent="0.35">
      <c r="A18" s="8" t="s">
        <v>97</v>
      </c>
      <c r="B18" s="9" t="s">
        <v>71</v>
      </c>
      <c r="C18" s="8" t="s">
        <v>46</v>
      </c>
      <c r="D18" s="8" t="s">
        <v>35</v>
      </c>
      <c r="E18" s="8" t="s">
        <v>36</v>
      </c>
      <c r="F18" s="8" t="s">
        <v>62</v>
      </c>
      <c r="G18" s="8" t="s">
        <v>98</v>
      </c>
      <c r="H18" s="10">
        <f t="shared" ca="1" si="0"/>
        <v>15</v>
      </c>
      <c r="I18" s="8" t="s">
        <v>39</v>
      </c>
      <c r="J18" s="8">
        <v>4</v>
      </c>
      <c r="K18" s="8">
        <v>8</v>
      </c>
      <c r="L18" s="11">
        <f t="shared" si="1"/>
        <v>0.5</v>
      </c>
      <c r="M18" s="8" t="s">
        <v>27</v>
      </c>
      <c r="N18" s="9" t="s">
        <v>40</v>
      </c>
      <c r="O18" s="9" t="s">
        <v>61</v>
      </c>
      <c r="P18" s="8" t="s">
        <v>99</v>
      </c>
      <c r="Q18" s="12" t="s">
        <v>79</v>
      </c>
    </row>
    <row r="19" spans="1:17" ht="21.75" customHeight="1" x14ac:dyDescent="0.35">
      <c r="A19" s="3" t="s">
        <v>100</v>
      </c>
      <c r="B19" s="4" t="s">
        <v>76</v>
      </c>
      <c r="C19" s="3" t="s">
        <v>34</v>
      </c>
      <c r="D19" s="3" t="s">
        <v>5</v>
      </c>
      <c r="E19" s="3" t="s">
        <v>47</v>
      </c>
      <c r="F19" s="3" t="s">
        <v>101</v>
      </c>
      <c r="G19" s="3" t="s">
        <v>69</v>
      </c>
      <c r="H19" s="5">
        <f t="shared" ca="1" si="0"/>
        <v>-4</v>
      </c>
      <c r="I19" s="3" t="s">
        <v>26</v>
      </c>
      <c r="J19" s="3">
        <v>4</v>
      </c>
      <c r="K19" s="3">
        <v>6</v>
      </c>
      <c r="L19" s="6">
        <f t="shared" si="1"/>
        <v>0.66666666666666663</v>
      </c>
      <c r="M19" s="3" t="s">
        <v>27</v>
      </c>
      <c r="N19" s="4" t="s">
        <v>52</v>
      </c>
      <c r="O19" s="4" t="s">
        <v>53</v>
      </c>
      <c r="P19" s="3" t="s">
        <v>92</v>
      </c>
      <c r="Q19" s="7" t="s">
        <v>102</v>
      </c>
    </row>
    <row r="20" spans="1:17" ht="21.75" customHeight="1" x14ac:dyDescent="0.35">
      <c r="A20" s="8" t="s">
        <v>103</v>
      </c>
      <c r="B20" s="9" t="s">
        <v>3</v>
      </c>
      <c r="C20" s="8" t="s">
        <v>104</v>
      </c>
      <c r="D20" s="8" t="s">
        <v>22</v>
      </c>
      <c r="E20" s="8" t="s">
        <v>6</v>
      </c>
      <c r="F20" s="8" t="s">
        <v>105</v>
      </c>
      <c r="G20" s="8" t="s">
        <v>106</v>
      </c>
      <c r="H20" s="10">
        <f t="shared" ca="1" si="0"/>
        <v>-38</v>
      </c>
      <c r="I20" s="8" t="s">
        <v>96</v>
      </c>
      <c r="J20" s="8">
        <v>1</v>
      </c>
      <c r="K20" s="8">
        <v>5</v>
      </c>
      <c r="L20" s="11">
        <f t="shared" si="1"/>
        <v>0.2</v>
      </c>
      <c r="M20" s="8" t="s">
        <v>27</v>
      </c>
      <c r="N20" s="9" t="s">
        <v>60</v>
      </c>
      <c r="O20" s="9" t="s">
        <v>53</v>
      </c>
      <c r="P20" s="8" t="s">
        <v>30</v>
      </c>
      <c r="Q20" s="12" t="s">
        <v>31</v>
      </c>
    </row>
    <row r="21" spans="1:17" ht="21.75" customHeight="1" x14ac:dyDescent="0.35">
      <c r="A21" s="3" t="s">
        <v>107</v>
      </c>
      <c r="B21" s="4" t="s">
        <v>20</v>
      </c>
      <c r="C21" s="3" t="s">
        <v>46</v>
      </c>
      <c r="D21" s="3" t="s">
        <v>35</v>
      </c>
      <c r="E21" s="3" t="s">
        <v>23</v>
      </c>
      <c r="F21" s="3" t="s">
        <v>108</v>
      </c>
      <c r="G21" s="3" t="s">
        <v>109</v>
      </c>
      <c r="H21" s="5">
        <f t="shared" ca="1" si="0"/>
        <v>-13</v>
      </c>
      <c r="I21" s="3" t="s">
        <v>39</v>
      </c>
      <c r="J21" s="3">
        <v>2</v>
      </c>
      <c r="K21" s="3">
        <v>4</v>
      </c>
      <c r="L21" s="6">
        <f t="shared" si="1"/>
        <v>0.5</v>
      </c>
      <c r="M21" s="3" t="s">
        <v>27</v>
      </c>
      <c r="N21" s="4" t="s">
        <v>68</v>
      </c>
      <c r="O21" s="4" t="s">
        <v>110</v>
      </c>
      <c r="P21" s="3" t="s">
        <v>42</v>
      </c>
      <c r="Q21" s="7" t="s">
        <v>63</v>
      </c>
    </row>
    <row r="22" spans="1:17" ht="21.75" customHeight="1" x14ac:dyDescent="0.35">
      <c r="A22" s="8" t="s">
        <v>111</v>
      </c>
      <c r="B22" s="9" t="s">
        <v>33</v>
      </c>
      <c r="C22" s="8" t="s">
        <v>104</v>
      </c>
      <c r="D22" s="8" t="s">
        <v>5</v>
      </c>
      <c r="E22" s="8" t="s">
        <v>36</v>
      </c>
      <c r="F22" s="8" t="s">
        <v>92</v>
      </c>
      <c r="G22" s="8" t="s">
        <v>112</v>
      </c>
      <c r="H22" s="10">
        <f t="shared" ca="1" si="0"/>
        <v>20</v>
      </c>
      <c r="I22" s="8" t="s">
        <v>50</v>
      </c>
      <c r="J22" s="8">
        <v>4</v>
      </c>
      <c r="K22" s="8">
        <v>4</v>
      </c>
      <c r="L22" s="11">
        <f t="shared" si="1"/>
        <v>1</v>
      </c>
      <c r="M22" s="8" t="s">
        <v>51</v>
      </c>
      <c r="N22" s="9" t="s">
        <v>15</v>
      </c>
      <c r="O22" s="9" t="s">
        <v>41</v>
      </c>
      <c r="P22" s="8" t="s">
        <v>54</v>
      </c>
      <c r="Q22" s="12" t="s">
        <v>102</v>
      </c>
    </row>
    <row r="23" spans="1:17" ht="21.75" customHeight="1" x14ac:dyDescent="0.35">
      <c r="A23" s="3" t="s">
        <v>113</v>
      </c>
      <c r="B23" s="4" t="s">
        <v>45</v>
      </c>
      <c r="C23" s="3" t="s">
        <v>21</v>
      </c>
      <c r="D23" s="3" t="s">
        <v>22</v>
      </c>
      <c r="E23" s="3" t="s">
        <v>47</v>
      </c>
      <c r="F23" s="3" t="s">
        <v>106</v>
      </c>
      <c r="G23" s="3" t="s">
        <v>114</v>
      </c>
      <c r="H23" s="5">
        <f t="shared" ca="1" si="0"/>
        <v>-24</v>
      </c>
      <c r="I23" s="3" t="s">
        <v>50</v>
      </c>
      <c r="J23" s="3">
        <v>4</v>
      </c>
      <c r="K23" s="3">
        <v>5</v>
      </c>
      <c r="L23" s="6">
        <f t="shared" si="1"/>
        <v>0.8</v>
      </c>
      <c r="M23" s="3" t="s">
        <v>51</v>
      </c>
      <c r="N23" s="4" t="s">
        <v>28</v>
      </c>
      <c r="O23" s="4" t="s">
        <v>115</v>
      </c>
      <c r="P23" s="3" t="s">
        <v>92</v>
      </c>
      <c r="Q23" s="7" t="s">
        <v>43</v>
      </c>
    </row>
    <row r="24" spans="1:17" ht="21.75" customHeight="1" x14ac:dyDescent="0.35">
      <c r="A24" s="8" t="s">
        <v>116</v>
      </c>
      <c r="B24" s="9" t="s">
        <v>56</v>
      </c>
      <c r="C24" s="8" t="s">
        <v>72</v>
      </c>
      <c r="D24" s="8" t="s">
        <v>35</v>
      </c>
      <c r="E24" s="8" t="s">
        <v>6</v>
      </c>
      <c r="F24" s="8" t="s">
        <v>117</v>
      </c>
      <c r="G24" s="8" t="s">
        <v>30</v>
      </c>
      <c r="H24" s="10">
        <f t="shared" ca="1" si="0"/>
        <v>-8</v>
      </c>
      <c r="I24" s="8" t="s">
        <v>96</v>
      </c>
      <c r="J24" s="8">
        <v>1</v>
      </c>
      <c r="K24" s="8">
        <v>7</v>
      </c>
      <c r="L24" s="11">
        <f t="shared" si="1"/>
        <v>0.14285714285714285</v>
      </c>
      <c r="M24" s="8" t="s">
        <v>27</v>
      </c>
      <c r="N24" s="9" t="s">
        <v>40</v>
      </c>
      <c r="O24" s="9" t="s">
        <v>110</v>
      </c>
      <c r="P24" s="8" t="s">
        <v>89</v>
      </c>
      <c r="Q24" s="12" t="s">
        <v>63</v>
      </c>
    </row>
    <row r="25" spans="1:17" ht="21.75" customHeight="1" x14ac:dyDescent="0.35">
      <c r="A25" s="3" t="s">
        <v>118</v>
      </c>
      <c r="B25" s="4" t="s">
        <v>65</v>
      </c>
      <c r="C25" s="3" t="s">
        <v>72</v>
      </c>
      <c r="D25" s="3" t="s">
        <v>5</v>
      </c>
      <c r="E25" s="3" t="s">
        <v>23</v>
      </c>
      <c r="F25" s="3" t="s">
        <v>119</v>
      </c>
      <c r="G25" s="3" t="s">
        <v>120</v>
      </c>
      <c r="H25" s="5">
        <f t="shared" ca="1" si="0"/>
        <v>1</v>
      </c>
      <c r="I25" s="3" t="s">
        <v>39</v>
      </c>
      <c r="J25" s="3">
        <v>0</v>
      </c>
      <c r="K25" s="3">
        <v>4</v>
      </c>
      <c r="L25" s="6">
        <f t="shared" si="1"/>
        <v>0</v>
      </c>
      <c r="M25" s="3" t="s">
        <v>27</v>
      </c>
      <c r="N25" s="4" t="s">
        <v>52</v>
      </c>
      <c r="O25" s="4" t="s">
        <v>110</v>
      </c>
      <c r="P25" s="3" t="s">
        <v>30</v>
      </c>
      <c r="Q25" s="7" t="s">
        <v>79</v>
      </c>
    </row>
    <row r="26" spans="1:17" ht="21.75" customHeight="1" x14ac:dyDescent="0.35">
      <c r="A26" s="8" t="s">
        <v>121</v>
      </c>
      <c r="B26" s="9" t="s">
        <v>71</v>
      </c>
      <c r="C26" s="8" t="s">
        <v>34</v>
      </c>
      <c r="D26" s="8" t="s">
        <v>22</v>
      </c>
      <c r="E26" s="8" t="s">
        <v>36</v>
      </c>
      <c r="F26" s="8" t="s">
        <v>38</v>
      </c>
      <c r="G26" s="8" t="s">
        <v>54</v>
      </c>
      <c r="H26" s="10">
        <f t="shared" ca="1" si="0"/>
        <v>-2</v>
      </c>
      <c r="I26" s="8" t="s">
        <v>59</v>
      </c>
      <c r="J26" s="8">
        <v>2</v>
      </c>
      <c r="K26" s="8">
        <v>8</v>
      </c>
      <c r="L26" s="11">
        <f t="shared" si="1"/>
        <v>0.25</v>
      </c>
      <c r="M26" s="8" t="s">
        <v>27</v>
      </c>
      <c r="N26" s="9" t="s">
        <v>60</v>
      </c>
      <c r="O26" s="9" t="s">
        <v>115</v>
      </c>
      <c r="P26" s="8" t="s">
        <v>42</v>
      </c>
      <c r="Q26" s="12"/>
    </row>
    <row r="27" spans="1:17" ht="21.75" customHeight="1" x14ac:dyDescent="0.35">
      <c r="A27" s="3" t="s">
        <v>122</v>
      </c>
      <c r="B27" s="4" t="s">
        <v>76</v>
      </c>
      <c r="C27" s="3" t="s">
        <v>46</v>
      </c>
      <c r="D27" s="3" t="s">
        <v>35</v>
      </c>
      <c r="E27" s="3" t="s">
        <v>47</v>
      </c>
      <c r="F27" s="3" t="s">
        <v>95</v>
      </c>
      <c r="G27" s="3" t="s">
        <v>66</v>
      </c>
      <c r="H27" s="5">
        <f t="shared" ca="1" si="0"/>
        <v>-21</v>
      </c>
      <c r="I27" s="3" t="s">
        <v>59</v>
      </c>
      <c r="J27" s="3">
        <v>0</v>
      </c>
      <c r="K27" s="3">
        <v>4</v>
      </c>
      <c r="L27" s="6">
        <f t="shared" si="1"/>
        <v>0</v>
      </c>
      <c r="M27" s="3" t="s">
        <v>27</v>
      </c>
      <c r="N27" s="4" t="s">
        <v>68</v>
      </c>
      <c r="O27" s="4" t="s">
        <v>115</v>
      </c>
      <c r="P27" s="3" t="s">
        <v>67</v>
      </c>
      <c r="Q27" s="7"/>
    </row>
    <row r="28" spans="1:17" ht="21.75" customHeight="1" x14ac:dyDescent="0.35">
      <c r="A28" s="8" t="s">
        <v>123</v>
      </c>
      <c r="B28" s="9" t="s">
        <v>3</v>
      </c>
      <c r="C28" s="8" t="s">
        <v>46</v>
      </c>
      <c r="D28" s="8" t="s">
        <v>5</v>
      </c>
      <c r="E28" s="8" t="s">
        <v>6</v>
      </c>
      <c r="F28" s="8" t="s">
        <v>124</v>
      </c>
      <c r="G28" s="8" t="s">
        <v>66</v>
      </c>
      <c r="H28" s="10">
        <f t="shared" ca="1" si="0"/>
        <v>-21</v>
      </c>
      <c r="I28" s="8" t="s">
        <v>26</v>
      </c>
      <c r="J28" s="8">
        <v>0</v>
      </c>
      <c r="K28" s="8">
        <v>4</v>
      </c>
      <c r="L28" s="11">
        <f t="shared" si="1"/>
        <v>0</v>
      </c>
      <c r="M28" s="8" t="s">
        <v>27</v>
      </c>
      <c r="N28" s="9" t="s">
        <v>15</v>
      </c>
      <c r="O28" s="9" t="s">
        <v>83</v>
      </c>
      <c r="P28" s="8" t="s">
        <v>42</v>
      </c>
      <c r="Q28" s="12" t="s">
        <v>79</v>
      </c>
    </row>
    <row r="29" spans="1:17" ht="21.75" customHeight="1" x14ac:dyDescent="0.35">
      <c r="A29" s="3" t="s">
        <v>125</v>
      </c>
      <c r="B29" s="4" t="s">
        <v>20</v>
      </c>
      <c r="C29" s="3" t="s">
        <v>104</v>
      </c>
      <c r="D29" s="3" t="s">
        <v>22</v>
      </c>
      <c r="E29" s="3" t="s">
        <v>23</v>
      </c>
      <c r="F29" s="3" t="s">
        <v>126</v>
      </c>
      <c r="G29" s="3" t="s">
        <v>119</v>
      </c>
      <c r="H29" s="5">
        <f t="shared" ca="1" si="0"/>
        <v>-19</v>
      </c>
      <c r="I29" s="3" t="s">
        <v>50</v>
      </c>
      <c r="J29" s="3">
        <v>2</v>
      </c>
      <c r="K29" s="3">
        <v>5</v>
      </c>
      <c r="L29" s="6">
        <f t="shared" si="1"/>
        <v>0.4</v>
      </c>
      <c r="M29" s="3" t="s">
        <v>51</v>
      </c>
      <c r="N29" s="4" t="s">
        <v>28</v>
      </c>
      <c r="O29" s="4" t="s">
        <v>115</v>
      </c>
      <c r="P29" s="3" t="s">
        <v>30</v>
      </c>
      <c r="Q29" s="7" t="s">
        <v>31</v>
      </c>
    </row>
    <row r="30" spans="1:17" ht="21.75" customHeight="1" x14ac:dyDescent="0.35">
      <c r="A30" s="8" t="s">
        <v>127</v>
      </c>
      <c r="B30" s="9" t="s">
        <v>33</v>
      </c>
      <c r="C30" s="8" t="s">
        <v>104</v>
      </c>
      <c r="D30" s="8" t="s">
        <v>35</v>
      </c>
      <c r="E30" s="8" t="s">
        <v>36</v>
      </c>
      <c r="F30" s="8" t="s">
        <v>30</v>
      </c>
      <c r="G30" s="8" t="s">
        <v>128</v>
      </c>
      <c r="H30" s="10">
        <f t="shared" ca="1" si="0"/>
        <v>12</v>
      </c>
      <c r="I30" s="8" t="s">
        <v>96</v>
      </c>
      <c r="J30" s="8">
        <v>0</v>
      </c>
      <c r="K30" s="8">
        <v>4</v>
      </c>
      <c r="L30" s="11">
        <f t="shared" si="1"/>
        <v>0</v>
      </c>
      <c r="M30" s="8" t="s">
        <v>27</v>
      </c>
      <c r="N30" s="9" t="s">
        <v>40</v>
      </c>
      <c r="O30" s="9" t="s">
        <v>115</v>
      </c>
      <c r="P30" s="8" t="s">
        <v>67</v>
      </c>
      <c r="Q30" s="12" t="s">
        <v>84</v>
      </c>
    </row>
    <row r="31" spans="1:17" ht="21.75" customHeight="1" x14ac:dyDescent="0.35">
      <c r="A31" s="3" t="s">
        <v>129</v>
      </c>
      <c r="B31" s="4" t="s">
        <v>45</v>
      </c>
      <c r="C31" s="3" t="s">
        <v>46</v>
      </c>
      <c r="D31" s="3" t="s">
        <v>5</v>
      </c>
      <c r="E31" s="3" t="s">
        <v>47</v>
      </c>
      <c r="F31" s="3" t="s">
        <v>130</v>
      </c>
      <c r="G31" s="3" t="s">
        <v>69</v>
      </c>
      <c r="H31" s="5">
        <f t="shared" ca="1" si="0"/>
        <v>-4</v>
      </c>
      <c r="I31" s="3" t="s">
        <v>39</v>
      </c>
      <c r="J31" s="3">
        <v>3</v>
      </c>
      <c r="K31" s="3">
        <v>5</v>
      </c>
      <c r="L31" s="6">
        <f t="shared" si="1"/>
        <v>0.6</v>
      </c>
      <c r="M31" s="3" t="s">
        <v>51</v>
      </c>
      <c r="N31" s="4" t="s">
        <v>52</v>
      </c>
      <c r="O31" s="4" t="s">
        <v>61</v>
      </c>
      <c r="P31" s="3" t="s">
        <v>99</v>
      </c>
      <c r="Q31" s="7" t="s">
        <v>43</v>
      </c>
    </row>
    <row r="32" spans="1:17" ht="21.75" customHeight="1" x14ac:dyDescent="0.35">
      <c r="A32" s="8" t="s">
        <v>131</v>
      </c>
      <c r="B32" s="9" t="s">
        <v>56</v>
      </c>
      <c r="C32" s="8" t="s">
        <v>104</v>
      </c>
      <c r="D32" s="8" t="s">
        <v>22</v>
      </c>
      <c r="E32" s="8" t="s">
        <v>6</v>
      </c>
      <c r="F32" s="8" t="s">
        <v>124</v>
      </c>
      <c r="G32" s="8" t="s">
        <v>132</v>
      </c>
      <c r="H32" s="10">
        <f t="shared" ca="1" si="0"/>
        <v>-44</v>
      </c>
      <c r="I32" s="8" t="s">
        <v>96</v>
      </c>
      <c r="J32" s="8">
        <v>2</v>
      </c>
      <c r="K32" s="8">
        <v>7</v>
      </c>
      <c r="L32" s="11">
        <f t="shared" si="1"/>
        <v>0.2857142857142857</v>
      </c>
      <c r="M32" s="8" t="s">
        <v>27</v>
      </c>
      <c r="N32" s="9" t="s">
        <v>60</v>
      </c>
      <c r="O32" s="9" t="s">
        <v>41</v>
      </c>
      <c r="P32" s="8" t="s">
        <v>30</v>
      </c>
      <c r="Q32" s="12" t="s">
        <v>31</v>
      </c>
    </row>
    <row r="33" spans="1:17" ht="21.75" customHeight="1" x14ac:dyDescent="0.35">
      <c r="A33" s="3" t="s">
        <v>133</v>
      </c>
      <c r="B33" s="4" t="s">
        <v>65</v>
      </c>
      <c r="C33" s="3" t="s">
        <v>34</v>
      </c>
      <c r="D33" s="3" t="s">
        <v>35</v>
      </c>
      <c r="E33" s="3" t="s">
        <v>23</v>
      </c>
      <c r="F33" s="3" t="s">
        <v>134</v>
      </c>
      <c r="G33" s="3" t="s">
        <v>38</v>
      </c>
      <c r="H33" s="5">
        <f t="shared" ca="1" si="0"/>
        <v>-22</v>
      </c>
      <c r="I33" s="3" t="s">
        <v>39</v>
      </c>
      <c r="J33" s="3">
        <v>7</v>
      </c>
      <c r="K33" s="3">
        <v>8</v>
      </c>
      <c r="L33" s="6">
        <f t="shared" si="1"/>
        <v>0.875</v>
      </c>
      <c r="M33" s="3" t="s">
        <v>27</v>
      </c>
      <c r="N33" s="4" t="s">
        <v>68</v>
      </c>
      <c r="O33" s="4" t="s">
        <v>110</v>
      </c>
      <c r="P33" s="3" t="s">
        <v>30</v>
      </c>
      <c r="Q33" s="7" t="s">
        <v>31</v>
      </c>
    </row>
    <row r="34" spans="1:17" ht="21.75" customHeight="1" x14ac:dyDescent="0.35">
      <c r="A34" s="8" t="s">
        <v>135</v>
      </c>
      <c r="B34" s="9" t="s">
        <v>71</v>
      </c>
      <c r="C34" s="8" t="s">
        <v>34</v>
      </c>
      <c r="D34" s="8" t="s">
        <v>5</v>
      </c>
      <c r="E34" s="8" t="s">
        <v>36</v>
      </c>
      <c r="F34" s="8" t="s">
        <v>77</v>
      </c>
      <c r="G34" s="8" t="s">
        <v>78</v>
      </c>
      <c r="H34" s="10">
        <f t="shared" ca="1" si="0"/>
        <v>-29</v>
      </c>
      <c r="I34" s="8" t="s">
        <v>96</v>
      </c>
      <c r="J34" s="8">
        <v>1</v>
      </c>
      <c r="K34" s="8">
        <v>4</v>
      </c>
      <c r="L34" s="11">
        <f t="shared" si="1"/>
        <v>0.25</v>
      </c>
      <c r="M34" s="8" t="s">
        <v>27</v>
      </c>
      <c r="N34" s="9" t="s">
        <v>15</v>
      </c>
      <c r="O34" s="9" t="s">
        <v>41</v>
      </c>
      <c r="P34" s="8" t="s">
        <v>89</v>
      </c>
      <c r="Q34" s="12" t="s">
        <v>31</v>
      </c>
    </row>
  </sheetData>
  <autoFilter ref="A2:Q34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">
    <mergeCell ref="A3:Q3"/>
    <mergeCell ref="A2:Q2"/>
  </mergeCells>
  <conditionalFormatting sqref="D5:D34">
    <cfRule type="cellIs" dxfId="8" priority="2" operator="equal">
      <formula>"Very High"</formula>
    </cfRule>
    <cfRule type="cellIs" dxfId="7" priority="3" operator="equal">
      <formula>"High"</formula>
    </cfRule>
    <cfRule type="cellIs" dxfId="6" priority="4" operator="equal">
      <formula>"Medium"</formula>
    </cfRule>
    <cfRule type="cellIs" dxfId="5" priority="5" operator="equal">
      <formula>"Low"</formula>
    </cfRule>
  </conditionalFormatting>
  <conditionalFormatting sqref="H5:H34">
    <cfRule type="cellIs" dxfId="4" priority="242" operator="lessThan">
      <formula>1</formula>
    </cfRule>
  </conditionalFormatting>
  <conditionalFormatting sqref="I5:I34">
    <cfRule type="cellIs" dxfId="3" priority="122" operator="equal">
      <formula>"Approved"</formula>
    </cfRule>
    <cfRule type="cellIs" dxfId="2" priority="123" operator="equal">
      <formula>"Escalated"</formula>
    </cfRule>
    <cfRule type="cellIs" dxfId="1" priority="124" operator="equal">
      <formula>"In Review"</formula>
    </cfRule>
    <cfRule type="cellIs" dxfId="0" priority="125" operator="equal">
      <formula>"On Hold"</formula>
    </cfRule>
  </conditionalFormatting>
  <conditionalFormatting sqref="L5:L34">
    <cfRule type="colorScale" priority="243">
      <colorScale>
        <cfvo type="num" val="0"/>
        <cfvo type="num" val="0.5"/>
        <cfvo type="num" val="1"/>
        <color rgb="FFFFCCCC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6B"/>
  </sheetPr>
  <dimension ref="A1:M23"/>
  <sheetViews>
    <sheetView showGridLines="0" zoomScale="60" zoomScaleNormal="60" workbookViewId="0">
      <selection activeCell="L12" sqref="L12"/>
    </sheetView>
  </sheetViews>
  <sheetFormatPr defaultColWidth="8.6328125" defaultRowHeight="14.5" x14ac:dyDescent="0.35"/>
  <cols>
    <col min="1" max="1" width="24" customWidth="1"/>
    <col min="2" max="13" width="14" customWidth="1"/>
  </cols>
  <sheetData>
    <row r="1" spans="1:13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 x14ac:dyDescent="0.35">
      <c r="A2" s="57" t="s">
        <v>136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15.75" customHeight="1" x14ac:dyDescent="0.35">
      <c r="A3" s="38" t="s">
        <v>137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5" spans="1:13" ht="21.75" customHeight="1" x14ac:dyDescent="0.35">
      <c r="A5" s="53" t="s">
        <v>138</v>
      </c>
      <c r="B5" s="42"/>
      <c r="D5" s="52" t="s">
        <v>96</v>
      </c>
      <c r="E5" s="42"/>
      <c r="G5" s="54" t="s">
        <v>50</v>
      </c>
      <c r="H5" s="42"/>
      <c r="J5" s="48" t="s">
        <v>139</v>
      </c>
      <c r="K5" s="42"/>
    </row>
    <row r="6" spans="1:13" ht="19.5" customHeight="1" x14ac:dyDescent="0.35">
      <c r="A6" s="58"/>
      <c r="B6" s="42"/>
      <c r="D6" s="41"/>
      <c r="E6" s="42"/>
      <c r="G6" s="56"/>
      <c r="H6" s="42"/>
      <c r="J6" s="49"/>
      <c r="K6" s="42"/>
    </row>
    <row r="7" spans="1:13" ht="36" customHeight="1" x14ac:dyDescent="0.35">
      <c r="A7" s="50">
        <f>COUNTA('Case Pipeline'!A:A)-1</f>
        <v>32</v>
      </c>
      <c r="B7" s="44"/>
      <c r="D7" s="51">
        <f>COUNTIF('Case Pipeline'!I:I,"Approved")</f>
        <v>6</v>
      </c>
      <c r="E7" s="44"/>
      <c r="G7" s="43">
        <f>COUNTIF('Case Pipeline'!I:I,"Escalated")</f>
        <v>4</v>
      </c>
      <c r="H7" s="44"/>
      <c r="J7" s="55">
        <f ca="1">COUNTIF('Case Pipeline'!H:H,"&lt;0")</f>
        <v>26</v>
      </c>
      <c r="K7" s="44"/>
    </row>
    <row r="8" spans="1:13" ht="19.5" customHeight="1" x14ac:dyDescent="0.35">
      <c r="A8" s="45"/>
      <c r="B8" s="46"/>
      <c r="D8" s="45"/>
      <c r="E8" s="46"/>
      <c r="G8" s="45"/>
      <c r="H8" s="46"/>
      <c r="J8" s="45"/>
      <c r="K8" s="46"/>
    </row>
    <row r="10" spans="1:13" ht="15" customHeight="1" x14ac:dyDescent="0.35">
      <c r="A10" s="47" t="s">
        <v>140</v>
      </c>
      <c r="B10" s="42"/>
      <c r="C10" s="42"/>
      <c r="D10" s="42"/>
      <c r="E10" s="42"/>
      <c r="F10" s="42"/>
      <c r="H10" s="47" t="s">
        <v>141</v>
      </c>
      <c r="I10" s="42"/>
      <c r="J10" s="42"/>
      <c r="K10" s="42"/>
      <c r="L10" s="42"/>
      <c r="M10" s="42"/>
    </row>
    <row r="11" spans="1:13" ht="27.75" customHeight="1" x14ac:dyDescent="0.35">
      <c r="A11" s="13" t="s">
        <v>142</v>
      </c>
      <c r="B11" s="13" t="s">
        <v>138</v>
      </c>
      <c r="C11" s="13" t="s">
        <v>96</v>
      </c>
      <c r="D11" s="13" t="s">
        <v>50</v>
      </c>
      <c r="E11" s="13" t="s">
        <v>143</v>
      </c>
      <c r="F11" s="13" t="s">
        <v>144</v>
      </c>
      <c r="H11" s="14" t="s">
        <v>10</v>
      </c>
      <c r="I11" s="14" t="s">
        <v>145</v>
      </c>
      <c r="J11" s="14" t="s">
        <v>146</v>
      </c>
    </row>
    <row r="12" spans="1:13" ht="18" customHeight="1" x14ac:dyDescent="0.35">
      <c r="A12" s="3" t="s">
        <v>23</v>
      </c>
      <c r="B12" s="3">
        <v>6</v>
      </c>
      <c r="C12" s="3">
        <v>2</v>
      </c>
      <c r="D12" s="3">
        <v>1</v>
      </c>
      <c r="E12" s="6">
        <v>0.82990182340713703</v>
      </c>
      <c r="F12" s="6">
        <v>0.33333333333333298</v>
      </c>
      <c r="H12" s="15" t="s">
        <v>39</v>
      </c>
      <c r="I12" s="15">
        <f>COUNTIF('Case Pipeline'!I5:I34,"Pending")</f>
        <v>8</v>
      </c>
      <c r="J12" s="16">
        <f>I12/COUNTA('Case Pipeline'!I5:I34)</f>
        <v>0.26666666666666666</v>
      </c>
    </row>
    <row r="13" spans="1:13" ht="15" customHeight="1" x14ac:dyDescent="0.35">
      <c r="A13" s="8" t="s">
        <v>147</v>
      </c>
      <c r="B13" s="8">
        <v>4</v>
      </c>
      <c r="C13" s="8">
        <v>1</v>
      </c>
      <c r="D13" s="8">
        <v>1</v>
      </c>
      <c r="E13" s="11">
        <v>0.80059884253844305</v>
      </c>
      <c r="F13" s="11">
        <v>0.25</v>
      </c>
      <c r="H13" s="17" t="s">
        <v>59</v>
      </c>
      <c r="I13" s="17">
        <f>COUNTIF('Case Pipeline'!I5:I34,"In Review")</f>
        <v>4</v>
      </c>
      <c r="J13" s="18">
        <f>I13/COUNTA('Case Pipeline'!I5:I34)</f>
        <v>0.13333333333333333</v>
      </c>
    </row>
    <row r="14" spans="1:13" ht="15" customHeight="1" x14ac:dyDescent="0.35">
      <c r="A14" s="3" t="s">
        <v>47</v>
      </c>
      <c r="B14" s="3">
        <v>8</v>
      </c>
      <c r="C14" s="3">
        <v>4</v>
      </c>
      <c r="D14" s="3">
        <v>0</v>
      </c>
      <c r="E14" s="6">
        <v>0.58695731048634403</v>
      </c>
      <c r="F14" s="6">
        <v>0.5</v>
      </c>
      <c r="H14" s="19" t="s">
        <v>74</v>
      </c>
      <c r="I14" s="19">
        <f>COUNTIF('Case Pipeline'!I5:I34,"Awaiting Docs")</f>
        <v>2</v>
      </c>
      <c r="J14" s="20">
        <f>I14/COUNTA('Case Pipeline'!I5:I34)</f>
        <v>6.6666666666666666E-2</v>
      </c>
    </row>
    <row r="15" spans="1:13" ht="15" customHeight="1" x14ac:dyDescent="0.35">
      <c r="A15" s="8" t="s">
        <v>36</v>
      </c>
      <c r="B15" s="8">
        <v>7</v>
      </c>
      <c r="C15" s="8">
        <v>1</v>
      </c>
      <c r="D15" s="8">
        <v>0</v>
      </c>
      <c r="E15" s="11">
        <v>0.58900659573786196</v>
      </c>
      <c r="F15" s="11">
        <v>0.14285714285714299</v>
      </c>
      <c r="H15" s="21" t="s">
        <v>50</v>
      </c>
      <c r="I15" s="21">
        <f>COUNTIF('Case Pipeline'!I5:I34,"Escalated")</f>
        <v>4</v>
      </c>
      <c r="J15" s="22">
        <f>I15/COUNTA('Case Pipeline'!I5:I34)</f>
        <v>0.13333333333333333</v>
      </c>
    </row>
    <row r="16" spans="1:13" ht="15" customHeight="1" x14ac:dyDescent="0.35">
      <c r="A16" s="3" t="s">
        <v>148</v>
      </c>
      <c r="B16" s="3">
        <v>7</v>
      </c>
      <c r="C16" s="3">
        <v>1</v>
      </c>
      <c r="D16" s="3">
        <v>2</v>
      </c>
      <c r="E16" s="6">
        <v>0.60323484329434796</v>
      </c>
      <c r="F16" s="6">
        <v>0.14285714285714299</v>
      </c>
      <c r="H16" s="23" t="s">
        <v>96</v>
      </c>
      <c r="I16" s="23">
        <f>COUNTIF('Case Pipeline'!I5:I34,"Approved")</f>
        <v>6</v>
      </c>
      <c r="J16" s="24">
        <f>I16/COUNTA('Case Pipeline'!I5:I34)</f>
        <v>0.2</v>
      </c>
    </row>
    <row r="17" spans="1:13" ht="15" customHeight="1" x14ac:dyDescent="0.35">
      <c r="A17" s="3" t="s">
        <v>6</v>
      </c>
      <c r="B17" s="3">
        <f>COUNTIF('Case Pipeline'!E:E,"Anusha Maram")</f>
        <v>7</v>
      </c>
      <c r="C17" s="3">
        <f>COUNTIFS('Case Pipeline'!E:E,"Anusha Maram",'Case Pipeline'!I:I,"Approved")</f>
        <v>3</v>
      </c>
      <c r="D17" s="3">
        <f>COUNTIFS('Case Pipeline'!E:E,"Anusha Maram",'Case Pipeline'!I:I,"Escalated")</f>
        <v>0</v>
      </c>
      <c r="E17" s="6">
        <f>AVERAGEIF('Case Pipeline'!E:E,"Anusha Maram",'Case Pipeline'!L:L)</f>
        <v>0.40408163265306124</v>
      </c>
      <c r="F17" s="6">
        <f>C17/B17</f>
        <v>0.42857142857142855</v>
      </c>
      <c r="H17" s="25" t="s">
        <v>26</v>
      </c>
      <c r="I17" s="25">
        <f>COUNTIF('Case Pipeline'!I5:I34,"On Hold")</f>
        <v>6</v>
      </c>
      <c r="J17" s="26">
        <f>I17/COUNTA('Case Pipeline'!I5:I34)</f>
        <v>0.2</v>
      </c>
    </row>
    <row r="19" spans="1:13" ht="15" customHeight="1" x14ac:dyDescent="0.35">
      <c r="H19" s="47" t="s">
        <v>149</v>
      </c>
      <c r="I19" s="42"/>
      <c r="J19" s="42"/>
      <c r="K19" s="42"/>
      <c r="L19" s="42"/>
      <c r="M19" s="42"/>
    </row>
    <row r="20" spans="1:13" ht="15" customHeight="1" x14ac:dyDescent="0.35">
      <c r="H20" s="14" t="s">
        <v>150</v>
      </c>
      <c r="I20" s="14" t="s">
        <v>145</v>
      </c>
      <c r="J20" s="14" t="s">
        <v>146</v>
      </c>
    </row>
    <row r="21" spans="1:13" ht="15" customHeight="1" x14ac:dyDescent="0.35">
      <c r="H21" s="23" t="s">
        <v>151</v>
      </c>
      <c r="I21" s="23">
        <f>COUNTIF('Case Pipeline'!D:D,"Low Risk")</f>
        <v>10</v>
      </c>
      <c r="J21" s="24">
        <f>I21/COUNTA('Case Pipeline'!D5:D34)</f>
        <v>0.33333333333333331</v>
      </c>
    </row>
    <row r="22" spans="1:13" ht="15" customHeight="1" x14ac:dyDescent="0.35">
      <c r="H22" s="25" t="s">
        <v>152</v>
      </c>
      <c r="I22" s="25">
        <f>COUNTIF('Case Pipeline'!D:D,"Medium Risk")</f>
        <v>10</v>
      </c>
      <c r="J22" s="26">
        <f>I22/COUNTA('Case Pipeline'!D5:D34)</f>
        <v>0.33333333333333331</v>
      </c>
    </row>
    <row r="23" spans="1:13" ht="15" customHeight="1" x14ac:dyDescent="0.35">
      <c r="H23" s="19" t="s">
        <v>153</v>
      </c>
      <c r="I23" s="19">
        <f>COUNTIF('Case Pipeline'!D:D,"High Risk")</f>
        <v>10</v>
      </c>
      <c r="J23" s="20">
        <f>I23/COUNTA('Case Pipeline'!D5:D34)</f>
        <v>0.33333333333333331</v>
      </c>
    </row>
  </sheetData>
  <mergeCells count="17">
    <mergeCell ref="A3:M3"/>
    <mergeCell ref="G6:H6"/>
    <mergeCell ref="A2:M2"/>
    <mergeCell ref="A6:B6"/>
    <mergeCell ref="H19:M19"/>
    <mergeCell ref="D5:E5"/>
    <mergeCell ref="A5:B5"/>
    <mergeCell ref="G5:H5"/>
    <mergeCell ref="J7:K8"/>
    <mergeCell ref="D6:E6"/>
    <mergeCell ref="G7:H8"/>
    <mergeCell ref="A10:F10"/>
    <mergeCell ref="J5:K5"/>
    <mergeCell ref="J6:K6"/>
    <mergeCell ref="A7:B8"/>
    <mergeCell ref="D7:E8"/>
    <mergeCell ref="H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M23"/>
  <sheetViews>
    <sheetView showGridLines="0" topLeftCell="A41" zoomScaleNormal="100" workbookViewId="0"/>
  </sheetViews>
  <sheetFormatPr defaultColWidth="8.6328125" defaultRowHeight="14.5" x14ac:dyDescent="0.35"/>
  <cols>
    <col min="1" max="1" width="14" customWidth="1"/>
    <col min="2" max="2" width="28" customWidth="1"/>
    <col min="3" max="3" width="14" customWidth="1"/>
    <col min="4" max="4" width="18" customWidth="1"/>
    <col min="5" max="5" width="28" customWidth="1"/>
    <col min="6" max="6" width="18" customWidth="1"/>
    <col min="7" max="7" width="16" customWidth="1"/>
    <col min="8" max="8" width="32" customWidth="1"/>
    <col min="9" max="10" width="18" customWidth="1"/>
    <col min="11" max="11" width="30" customWidth="1"/>
  </cols>
  <sheetData>
    <row r="1" spans="1:13" ht="7.5" customHeight="1" x14ac:dyDescent="0.3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6" customHeight="1" x14ac:dyDescent="0.35">
      <c r="A2" s="60" t="s">
        <v>154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15.75" customHeight="1" x14ac:dyDescent="0.35">
      <c r="A3" s="59" t="s">
        <v>155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5" spans="1:13" ht="15" customHeight="1" x14ac:dyDescent="0.35">
      <c r="A5" s="61" t="s">
        <v>156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ht="27.75" customHeight="1" x14ac:dyDescent="0.35">
      <c r="A6" s="13" t="s">
        <v>2</v>
      </c>
      <c r="B6" s="13" t="s">
        <v>157</v>
      </c>
      <c r="C6" s="13" t="s">
        <v>4</v>
      </c>
      <c r="D6" s="13" t="s">
        <v>150</v>
      </c>
      <c r="E6" s="13" t="s">
        <v>142</v>
      </c>
      <c r="F6" s="13" t="s">
        <v>8</v>
      </c>
      <c r="G6" s="13" t="s">
        <v>158</v>
      </c>
      <c r="H6" s="13" t="s">
        <v>10</v>
      </c>
      <c r="I6" s="13" t="s">
        <v>16</v>
      </c>
      <c r="J6" s="13" t="s">
        <v>17</v>
      </c>
      <c r="K6" s="13" t="s">
        <v>159</v>
      </c>
    </row>
    <row r="7" spans="1:13" ht="21.75" customHeight="1" x14ac:dyDescent="0.35">
      <c r="A7" s="21" t="s">
        <v>19</v>
      </c>
      <c r="B7" s="28" t="s">
        <v>160</v>
      </c>
      <c r="C7" s="21" t="s">
        <v>21</v>
      </c>
      <c r="D7" s="21" t="s">
        <v>151</v>
      </c>
      <c r="E7" s="21" t="s">
        <v>23</v>
      </c>
      <c r="F7" s="21" t="s">
        <v>99</v>
      </c>
      <c r="G7" s="21">
        <v>6</v>
      </c>
      <c r="H7" s="21" t="s">
        <v>26</v>
      </c>
      <c r="I7" s="28" t="s">
        <v>29</v>
      </c>
      <c r="J7" s="21" t="s">
        <v>30</v>
      </c>
      <c r="K7" s="29" t="s">
        <v>161</v>
      </c>
    </row>
    <row r="8" spans="1:13" ht="21.75" customHeight="1" x14ac:dyDescent="0.35">
      <c r="A8" s="30" t="s">
        <v>32</v>
      </c>
      <c r="B8" s="31" t="s">
        <v>162</v>
      </c>
      <c r="C8" s="30" t="s">
        <v>34</v>
      </c>
      <c r="D8" s="30" t="s">
        <v>152</v>
      </c>
      <c r="E8" s="30" t="s">
        <v>23</v>
      </c>
      <c r="F8" s="30" t="s">
        <v>163</v>
      </c>
      <c r="G8" s="30">
        <v>14</v>
      </c>
      <c r="H8" s="30" t="s">
        <v>39</v>
      </c>
      <c r="I8" s="31" t="s">
        <v>41</v>
      </c>
      <c r="J8" s="30" t="s">
        <v>42</v>
      </c>
      <c r="K8" s="32" t="s">
        <v>164</v>
      </c>
    </row>
    <row r="9" spans="1:13" ht="21.75" customHeight="1" x14ac:dyDescent="0.35">
      <c r="A9" s="21" t="s">
        <v>44</v>
      </c>
      <c r="B9" s="28" t="s">
        <v>165</v>
      </c>
      <c r="C9" s="21" t="s">
        <v>46</v>
      </c>
      <c r="D9" s="21" t="s">
        <v>152</v>
      </c>
      <c r="E9" s="21" t="s">
        <v>23</v>
      </c>
      <c r="F9" s="21" t="s">
        <v>166</v>
      </c>
      <c r="G9" s="21">
        <v>16</v>
      </c>
      <c r="H9" s="21" t="s">
        <v>50</v>
      </c>
      <c r="I9" s="28" t="s">
        <v>53</v>
      </c>
      <c r="J9" s="21" t="s">
        <v>54</v>
      </c>
      <c r="K9" s="29" t="s">
        <v>167</v>
      </c>
    </row>
    <row r="10" spans="1:13" ht="21.75" customHeight="1" x14ac:dyDescent="0.35">
      <c r="A10" s="30" t="s">
        <v>55</v>
      </c>
      <c r="B10" s="31" t="s">
        <v>168</v>
      </c>
      <c r="C10" s="30" t="s">
        <v>57</v>
      </c>
      <c r="D10" s="30" t="s">
        <v>151</v>
      </c>
      <c r="E10" s="30" t="s">
        <v>23</v>
      </c>
      <c r="F10" s="30" t="s">
        <v>166</v>
      </c>
      <c r="G10" s="30">
        <v>16</v>
      </c>
      <c r="H10" s="30" t="s">
        <v>59</v>
      </c>
      <c r="I10" s="31" t="s">
        <v>61</v>
      </c>
      <c r="J10" s="30" t="s">
        <v>62</v>
      </c>
      <c r="K10" s="32" t="s">
        <v>169</v>
      </c>
    </row>
    <row r="11" spans="1:13" ht="21.75" customHeight="1" x14ac:dyDescent="0.35">
      <c r="A11" s="21" t="s">
        <v>64</v>
      </c>
      <c r="B11" s="28" t="s">
        <v>170</v>
      </c>
      <c r="C11" s="21" t="s">
        <v>57</v>
      </c>
      <c r="D11" s="21" t="s">
        <v>153</v>
      </c>
      <c r="E11" s="21" t="s">
        <v>23</v>
      </c>
      <c r="F11" s="21" t="s">
        <v>99</v>
      </c>
      <c r="G11" s="21">
        <v>6</v>
      </c>
      <c r="H11" s="21" t="s">
        <v>26</v>
      </c>
      <c r="I11" s="28" t="s">
        <v>41</v>
      </c>
      <c r="J11" s="21" t="s">
        <v>69</v>
      </c>
      <c r="K11" s="29" t="s">
        <v>169</v>
      </c>
    </row>
    <row r="12" spans="1:13" ht="21.75" customHeight="1" x14ac:dyDescent="0.35">
      <c r="A12" s="30" t="s">
        <v>70</v>
      </c>
      <c r="B12" s="31" t="s">
        <v>171</v>
      </c>
      <c r="C12" s="30" t="s">
        <v>72</v>
      </c>
      <c r="D12" s="30" t="s">
        <v>152</v>
      </c>
      <c r="E12" s="30" t="s">
        <v>147</v>
      </c>
      <c r="F12" s="30" t="s">
        <v>82</v>
      </c>
      <c r="G12" s="30">
        <v>17</v>
      </c>
      <c r="H12" s="30" t="s">
        <v>74</v>
      </c>
      <c r="I12" s="31" t="s">
        <v>53</v>
      </c>
      <c r="J12" s="30" t="s">
        <v>69</v>
      </c>
      <c r="K12" s="32" t="s">
        <v>167</v>
      </c>
    </row>
    <row r="13" spans="1:13" ht="21.75" customHeight="1" x14ac:dyDescent="0.35">
      <c r="A13" s="21" t="s">
        <v>75</v>
      </c>
      <c r="B13" s="28" t="s">
        <v>172</v>
      </c>
      <c r="C13" s="21" t="s">
        <v>46</v>
      </c>
      <c r="D13" s="21" t="s">
        <v>151</v>
      </c>
      <c r="E13" s="21" t="s">
        <v>147</v>
      </c>
      <c r="F13" s="21" t="s">
        <v>173</v>
      </c>
      <c r="G13" s="21">
        <v>1</v>
      </c>
      <c r="H13" s="21" t="s">
        <v>39</v>
      </c>
      <c r="I13" s="28" t="s">
        <v>61</v>
      </c>
      <c r="J13" s="21" t="s">
        <v>62</v>
      </c>
      <c r="K13" s="29" t="s">
        <v>174</v>
      </c>
    </row>
    <row r="14" spans="1:13" ht="21.75" customHeight="1" x14ac:dyDescent="0.35">
      <c r="A14" s="30" t="s">
        <v>80</v>
      </c>
      <c r="B14" s="31" t="s">
        <v>175</v>
      </c>
      <c r="C14" s="30" t="s">
        <v>34</v>
      </c>
      <c r="D14" s="30" t="s">
        <v>151</v>
      </c>
      <c r="E14" s="30" t="s">
        <v>147</v>
      </c>
      <c r="F14" s="30" t="s">
        <v>91</v>
      </c>
      <c r="G14" s="30">
        <v>12</v>
      </c>
      <c r="H14" s="30" t="s">
        <v>26</v>
      </c>
      <c r="I14" s="31" t="s">
        <v>83</v>
      </c>
      <c r="J14" s="30" t="s">
        <v>67</v>
      </c>
      <c r="K14" s="32" t="s">
        <v>169</v>
      </c>
    </row>
    <row r="17" spans="1:13" ht="15" customHeight="1" x14ac:dyDescent="0.35">
      <c r="A17" s="62" t="s">
        <v>176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ht="27.75" customHeight="1" x14ac:dyDescent="0.35">
      <c r="A18" s="13" t="s">
        <v>2</v>
      </c>
      <c r="B18" s="13" t="s">
        <v>157</v>
      </c>
      <c r="C18" s="13" t="s">
        <v>150</v>
      </c>
      <c r="D18" s="13" t="s">
        <v>142</v>
      </c>
      <c r="E18" s="13" t="s">
        <v>177</v>
      </c>
      <c r="F18" s="13" t="s">
        <v>178</v>
      </c>
      <c r="G18" s="13" t="s">
        <v>179</v>
      </c>
      <c r="H18" s="13" t="s">
        <v>180</v>
      </c>
      <c r="I18" s="13" t="s">
        <v>181</v>
      </c>
      <c r="J18" s="13" t="s">
        <v>10</v>
      </c>
    </row>
    <row r="19" spans="1:13" ht="21.75" customHeight="1" x14ac:dyDescent="0.35">
      <c r="A19" s="21" t="s">
        <v>44</v>
      </c>
      <c r="B19" s="28" t="s">
        <v>165</v>
      </c>
      <c r="C19" s="21" t="s">
        <v>152</v>
      </c>
      <c r="D19" s="21" t="s">
        <v>23</v>
      </c>
      <c r="E19" s="28"/>
      <c r="F19" s="21" t="s">
        <v>182</v>
      </c>
      <c r="G19" s="21" t="s">
        <v>54</v>
      </c>
      <c r="H19" s="29" t="s">
        <v>183</v>
      </c>
      <c r="I19" s="21" t="s">
        <v>184</v>
      </c>
      <c r="J19" s="21" t="s">
        <v>185</v>
      </c>
    </row>
    <row r="20" spans="1:13" ht="21.75" customHeight="1" x14ac:dyDescent="0.35">
      <c r="A20" s="30" t="s">
        <v>111</v>
      </c>
      <c r="B20" s="31" t="s">
        <v>186</v>
      </c>
      <c r="C20" s="30" t="s">
        <v>151</v>
      </c>
      <c r="D20" s="30" t="s">
        <v>36</v>
      </c>
      <c r="E20" s="31" t="s">
        <v>187</v>
      </c>
      <c r="F20" s="30" t="s">
        <v>182</v>
      </c>
      <c r="G20" s="30" t="s">
        <v>69</v>
      </c>
      <c r="H20" s="32" t="s">
        <v>188</v>
      </c>
      <c r="I20" s="30" t="s">
        <v>189</v>
      </c>
      <c r="J20" s="30" t="s">
        <v>185</v>
      </c>
    </row>
    <row r="21" spans="1:13" ht="21.75" customHeight="1" x14ac:dyDescent="0.35">
      <c r="A21" s="21" t="s">
        <v>113</v>
      </c>
      <c r="B21" s="28" t="s">
        <v>190</v>
      </c>
      <c r="C21" s="21" t="s">
        <v>153</v>
      </c>
      <c r="D21" s="21" t="s">
        <v>47</v>
      </c>
      <c r="E21" s="28" t="s">
        <v>187</v>
      </c>
      <c r="F21" s="21" t="s">
        <v>182</v>
      </c>
      <c r="G21" s="21" t="s">
        <v>42</v>
      </c>
      <c r="H21" s="29"/>
      <c r="I21" s="21" t="s">
        <v>191</v>
      </c>
      <c r="J21" s="21" t="s">
        <v>185</v>
      </c>
    </row>
    <row r="22" spans="1:13" ht="21.75" customHeight="1" x14ac:dyDescent="0.35">
      <c r="A22" s="30" t="s">
        <v>125</v>
      </c>
      <c r="B22" s="31" t="s">
        <v>192</v>
      </c>
      <c r="C22" s="30" t="s">
        <v>152</v>
      </c>
      <c r="D22" s="30" t="s">
        <v>23</v>
      </c>
      <c r="E22" s="31" t="s">
        <v>193</v>
      </c>
      <c r="F22" s="30" t="s">
        <v>182</v>
      </c>
      <c r="G22" s="30" t="s">
        <v>99</v>
      </c>
      <c r="H22" s="32" t="s">
        <v>194</v>
      </c>
      <c r="I22" s="30" t="s">
        <v>191</v>
      </c>
      <c r="J22" s="30" t="s">
        <v>185</v>
      </c>
    </row>
    <row r="23" spans="1:13" ht="21.75" customHeight="1" x14ac:dyDescent="0.35">
      <c r="A23" s="21" t="s">
        <v>129</v>
      </c>
      <c r="B23" s="28" t="s">
        <v>195</v>
      </c>
      <c r="C23" s="21" t="s">
        <v>153</v>
      </c>
      <c r="D23" s="21" t="s">
        <v>36</v>
      </c>
      <c r="E23" s="28" t="s">
        <v>193</v>
      </c>
      <c r="F23" s="21" t="s">
        <v>196</v>
      </c>
      <c r="G23" s="21" t="s">
        <v>99</v>
      </c>
      <c r="H23" s="29" t="s">
        <v>197</v>
      </c>
      <c r="I23" s="21" t="s">
        <v>198</v>
      </c>
      <c r="J23" s="21" t="s">
        <v>185</v>
      </c>
    </row>
  </sheetData>
  <mergeCells count="4">
    <mergeCell ref="A3:M3"/>
    <mergeCell ref="A2:M2"/>
    <mergeCell ref="A5:M5"/>
    <mergeCell ref="A17:M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7346"/>
  </sheetPr>
  <dimension ref="A1:M41"/>
  <sheetViews>
    <sheetView showGridLines="0" tabSelected="1" zoomScaleNormal="100" workbookViewId="0"/>
  </sheetViews>
  <sheetFormatPr defaultColWidth="8.6328125" defaultRowHeight="14.5" x14ac:dyDescent="0.35"/>
  <cols>
    <col min="1" max="1" width="36" customWidth="1"/>
    <col min="2" max="6" width="20" customWidth="1"/>
  </cols>
  <sheetData>
    <row r="1" spans="1:13" ht="7.5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36" customHeight="1" x14ac:dyDescent="0.35">
      <c r="A2" s="67" t="s">
        <v>199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15.75" customHeight="1" x14ac:dyDescent="0.35">
      <c r="A3" s="66" t="s">
        <v>200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5" spans="1:13" ht="15" customHeight="1" x14ac:dyDescent="0.35">
      <c r="A5" s="47" t="s">
        <v>201</v>
      </c>
      <c r="B5" s="42"/>
      <c r="C5" s="42"/>
      <c r="D5" s="42"/>
      <c r="E5" s="42"/>
      <c r="F5" s="42"/>
    </row>
    <row r="6" spans="1:13" ht="36" customHeight="1" x14ac:dyDescent="0.35">
      <c r="A6" s="34" t="s">
        <v>202</v>
      </c>
      <c r="B6" s="13" t="s">
        <v>72</v>
      </c>
      <c r="C6" s="13" t="s">
        <v>104</v>
      </c>
      <c r="D6" s="13" t="s">
        <v>46</v>
      </c>
      <c r="E6" s="13" t="s">
        <v>57</v>
      </c>
      <c r="F6" s="13" t="s">
        <v>34</v>
      </c>
    </row>
    <row r="7" spans="1:13" ht="19.5" customHeight="1" x14ac:dyDescent="0.35">
      <c r="A7" s="9" t="s">
        <v>203</v>
      </c>
      <c r="B7" s="35" t="s">
        <v>204</v>
      </c>
      <c r="C7" s="35" t="s">
        <v>204</v>
      </c>
      <c r="D7" s="36" t="s">
        <v>205</v>
      </c>
      <c r="E7" s="35" t="s">
        <v>204</v>
      </c>
      <c r="F7" s="35" t="s">
        <v>204</v>
      </c>
    </row>
    <row r="8" spans="1:13" ht="19.5" customHeight="1" x14ac:dyDescent="0.35">
      <c r="A8" s="4" t="s">
        <v>206</v>
      </c>
      <c r="B8" s="37" t="s">
        <v>204</v>
      </c>
      <c r="C8" s="37" t="s">
        <v>204</v>
      </c>
      <c r="D8" s="37" t="s">
        <v>204</v>
      </c>
      <c r="E8" s="37" t="s">
        <v>204</v>
      </c>
      <c r="F8" s="36" t="s">
        <v>205</v>
      </c>
    </row>
    <row r="9" spans="1:13" ht="19.5" customHeight="1" x14ac:dyDescent="0.35">
      <c r="A9" s="9" t="s">
        <v>207</v>
      </c>
      <c r="B9" s="36" t="s">
        <v>205</v>
      </c>
      <c r="C9" s="36" t="s">
        <v>205</v>
      </c>
      <c r="D9" s="35" t="s">
        <v>204</v>
      </c>
      <c r="E9" s="35" t="s">
        <v>204</v>
      </c>
      <c r="F9" s="35" t="s">
        <v>204</v>
      </c>
    </row>
    <row r="10" spans="1:13" ht="19.5" customHeight="1" x14ac:dyDescent="0.35">
      <c r="A10" s="4" t="s">
        <v>208</v>
      </c>
      <c r="B10" s="37" t="s">
        <v>204</v>
      </c>
      <c r="C10" s="37" t="s">
        <v>204</v>
      </c>
      <c r="D10" s="37" t="s">
        <v>204</v>
      </c>
      <c r="E10" s="36" t="s">
        <v>205</v>
      </c>
      <c r="F10" s="37" t="s">
        <v>204</v>
      </c>
    </row>
    <row r="11" spans="1:13" ht="19.5" customHeight="1" x14ac:dyDescent="0.35">
      <c r="A11" s="9" t="s">
        <v>209</v>
      </c>
      <c r="B11" s="35" t="s">
        <v>204</v>
      </c>
      <c r="C11" s="36" t="s">
        <v>205</v>
      </c>
      <c r="D11" s="35" t="s">
        <v>204</v>
      </c>
      <c r="E11" s="35" t="s">
        <v>204</v>
      </c>
      <c r="F11" s="35" t="s">
        <v>204</v>
      </c>
    </row>
    <row r="12" spans="1:13" ht="19.5" customHeight="1" x14ac:dyDescent="0.35">
      <c r="A12" s="4" t="s">
        <v>210</v>
      </c>
      <c r="B12" s="36" t="s">
        <v>205</v>
      </c>
      <c r="C12" s="37" t="s">
        <v>204</v>
      </c>
      <c r="D12" s="37" t="s">
        <v>204</v>
      </c>
      <c r="E12" s="37" t="s">
        <v>204</v>
      </c>
      <c r="F12" s="37" t="s">
        <v>204</v>
      </c>
    </row>
    <row r="13" spans="1:13" ht="19.5" customHeight="1" x14ac:dyDescent="0.35">
      <c r="A13" s="9" t="s">
        <v>211</v>
      </c>
      <c r="B13" s="35" t="s">
        <v>204</v>
      </c>
      <c r="C13" s="36" t="s">
        <v>205</v>
      </c>
      <c r="D13" s="35" t="s">
        <v>204</v>
      </c>
      <c r="E13" s="35" t="s">
        <v>204</v>
      </c>
      <c r="F13" s="35" t="s">
        <v>204</v>
      </c>
    </row>
    <row r="14" spans="1:13" ht="19.5" customHeight="1" x14ac:dyDescent="0.35">
      <c r="A14" s="4" t="s">
        <v>212</v>
      </c>
      <c r="B14" s="37" t="s">
        <v>204</v>
      </c>
      <c r="C14" s="37" t="s">
        <v>204</v>
      </c>
      <c r="D14" s="37" t="s">
        <v>204</v>
      </c>
      <c r="E14" s="37" t="s">
        <v>204</v>
      </c>
      <c r="F14" s="36" t="s">
        <v>205</v>
      </c>
    </row>
    <row r="15" spans="1:13" ht="19.5" customHeight="1" x14ac:dyDescent="0.35">
      <c r="A15" s="9" t="s">
        <v>213</v>
      </c>
      <c r="B15" s="36" t="s">
        <v>205</v>
      </c>
      <c r="C15" s="35" t="s">
        <v>204</v>
      </c>
      <c r="D15" s="35" t="s">
        <v>204</v>
      </c>
      <c r="E15" s="35" t="s">
        <v>204</v>
      </c>
      <c r="F15" s="35" t="s">
        <v>204</v>
      </c>
    </row>
    <row r="16" spans="1:13" ht="19.5" customHeight="1" x14ac:dyDescent="0.35">
      <c r="A16" s="4" t="s">
        <v>214</v>
      </c>
      <c r="B16" s="37" t="s">
        <v>204</v>
      </c>
      <c r="C16" s="37" t="s">
        <v>204</v>
      </c>
      <c r="D16" s="37" t="s">
        <v>204</v>
      </c>
      <c r="E16" s="37" t="s">
        <v>204</v>
      </c>
      <c r="F16" s="36" t="s">
        <v>205</v>
      </c>
    </row>
    <row r="17" spans="1:6" ht="19.5" customHeight="1" x14ac:dyDescent="0.35">
      <c r="A17" s="9" t="s">
        <v>215</v>
      </c>
      <c r="B17" s="35" t="s">
        <v>204</v>
      </c>
      <c r="C17" s="35" t="s">
        <v>204</v>
      </c>
      <c r="D17" s="35" t="s">
        <v>204</v>
      </c>
      <c r="E17" s="36" t="s">
        <v>205</v>
      </c>
      <c r="F17" s="35" t="s">
        <v>204</v>
      </c>
    </row>
    <row r="18" spans="1:6" ht="19.5" customHeight="1" x14ac:dyDescent="0.35">
      <c r="A18" s="4" t="s">
        <v>216</v>
      </c>
      <c r="B18" s="37" t="s">
        <v>204</v>
      </c>
      <c r="C18" s="37" t="s">
        <v>204</v>
      </c>
      <c r="D18" s="37" t="s">
        <v>204</v>
      </c>
      <c r="E18" s="36" t="s">
        <v>205</v>
      </c>
      <c r="F18" s="37" t="s">
        <v>204</v>
      </c>
    </row>
    <row r="19" spans="1:6" ht="19.5" customHeight="1" x14ac:dyDescent="0.35">
      <c r="A19" s="9" t="s">
        <v>217</v>
      </c>
      <c r="B19" s="35" t="s">
        <v>204</v>
      </c>
      <c r="C19" s="35" t="s">
        <v>204</v>
      </c>
      <c r="D19" s="35" t="s">
        <v>204</v>
      </c>
      <c r="E19" s="35" t="s">
        <v>204</v>
      </c>
      <c r="F19" s="36" t="s">
        <v>205</v>
      </c>
    </row>
    <row r="20" spans="1:6" ht="19.5" customHeight="1" x14ac:dyDescent="0.35">
      <c r="A20" s="4" t="s">
        <v>218</v>
      </c>
      <c r="B20" s="37" t="s">
        <v>204</v>
      </c>
      <c r="C20" s="37" t="s">
        <v>204</v>
      </c>
      <c r="D20" s="37" t="s">
        <v>204</v>
      </c>
      <c r="E20" s="36" t="s">
        <v>205</v>
      </c>
      <c r="F20" s="37" t="s">
        <v>204</v>
      </c>
    </row>
    <row r="21" spans="1:6" ht="19.5" customHeight="1" x14ac:dyDescent="0.35">
      <c r="A21" s="9" t="s">
        <v>219</v>
      </c>
      <c r="B21" s="36" t="s">
        <v>205</v>
      </c>
      <c r="C21" s="36" t="s">
        <v>205</v>
      </c>
      <c r="D21" s="35" t="s">
        <v>204</v>
      </c>
      <c r="E21" s="35" t="s">
        <v>204</v>
      </c>
      <c r="F21" s="35" t="s">
        <v>204</v>
      </c>
    </row>
    <row r="22" spans="1:6" ht="19.5" customHeight="1" x14ac:dyDescent="0.35">
      <c r="A22" s="4" t="s">
        <v>220</v>
      </c>
      <c r="B22" s="37" t="s">
        <v>204</v>
      </c>
      <c r="C22" s="37" t="s">
        <v>204</v>
      </c>
      <c r="D22" s="36" t="s">
        <v>205</v>
      </c>
      <c r="E22" s="37" t="s">
        <v>204</v>
      </c>
      <c r="F22" s="37" t="s">
        <v>204</v>
      </c>
    </row>
    <row r="23" spans="1:6" ht="19.5" customHeight="1" x14ac:dyDescent="0.35">
      <c r="A23" s="9" t="s">
        <v>221</v>
      </c>
      <c r="B23" s="36" t="s">
        <v>205</v>
      </c>
      <c r="C23" s="36" t="s">
        <v>205</v>
      </c>
      <c r="D23" s="35" t="s">
        <v>204</v>
      </c>
      <c r="E23" s="35" t="s">
        <v>204</v>
      </c>
      <c r="F23" s="35" t="s">
        <v>204</v>
      </c>
    </row>
    <row r="24" spans="1:6" ht="19.5" customHeight="1" x14ac:dyDescent="0.35">
      <c r="A24" s="4" t="s">
        <v>222</v>
      </c>
      <c r="B24" s="36" t="s">
        <v>205</v>
      </c>
      <c r="C24" s="37" t="s">
        <v>204</v>
      </c>
      <c r="D24" s="37" t="s">
        <v>204</v>
      </c>
      <c r="E24" s="37" t="s">
        <v>204</v>
      </c>
      <c r="F24" s="37" t="s">
        <v>204</v>
      </c>
    </row>
    <row r="25" spans="1:6" ht="19.5" customHeight="1" x14ac:dyDescent="0.35">
      <c r="A25" s="9" t="s">
        <v>223</v>
      </c>
      <c r="B25" s="35" t="s">
        <v>204</v>
      </c>
      <c r="C25" s="35" t="s">
        <v>204</v>
      </c>
      <c r="D25" s="35" t="s">
        <v>204</v>
      </c>
      <c r="E25" s="35" t="s">
        <v>204</v>
      </c>
      <c r="F25" s="36" t="s">
        <v>205</v>
      </c>
    </row>
    <row r="26" spans="1:6" ht="19.5" customHeight="1" x14ac:dyDescent="0.35">
      <c r="A26" s="4" t="s">
        <v>224</v>
      </c>
      <c r="B26" s="37" t="s">
        <v>204</v>
      </c>
      <c r="C26" s="36" t="s">
        <v>205</v>
      </c>
      <c r="D26" s="37" t="s">
        <v>204</v>
      </c>
      <c r="E26" s="37" t="s">
        <v>204</v>
      </c>
      <c r="F26" s="37" t="s">
        <v>204</v>
      </c>
    </row>
    <row r="27" spans="1:6" ht="19.5" customHeight="1" x14ac:dyDescent="0.35">
      <c r="A27" s="9" t="s">
        <v>225</v>
      </c>
      <c r="B27" s="35" t="s">
        <v>204</v>
      </c>
      <c r="C27" s="35" t="s">
        <v>204</v>
      </c>
      <c r="D27" s="36" t="s">
        <v>205</v>
      </c>
      <c r="E27" s="35" t="s">
        <v>204</v>
      </c>
      <c r="F27" s="35" t="s">
        <v>204</v>
      </c>
    </row>
    <row r="28" spans="1:6" ht="19.5" customHeight="1" x14ac:dyDescent="0.35">
      <c r="A28" s="4" t="s">
        <v>226</v>
      </c>
      <c r="B28" s="36" t="s">
        <v>205</v>
      </c>
      <c r="C28" s="37" t="s">
        <v>204</v>
      </c>
      <c r="D28" s="37" t="s">
        <v>204</v>
      </c>
      <c r="E28" s="36" t="s">
        <v>205</v>
      </c>
      <c r="F28" s="37" t="s">
        <v>204</v>
      </c>
    </row>
    <row r="29" spans="1:6" ht="19.5" customHeight="1" x14ac:dyDescent="0.35">
      <c r="A29" s="9" t="s">
        <v>227</v>
      </c>
      <c r="B29" s="35" t="s">
        <v>204</v>
      </c>
      <c r="C29" s="35" t="s">
        <v>204</v>
      </c>
      <c r="D29" s="36" t="s">
        <v>205</v>
      </c>
      <c r="E29" s="35" t="s">
        <v>204</v>
      </c>
      <c r="F29" s="35" t="s">
        <v>204</v>
      </c>
    </row>
    <row r="30" spans="1:6" ht="19.5" customHeight="1" x14ac:dyDescent="0.35">
      <c r="A30" s="4" t="s">
        <v>228</v>
      </c>
      <c r="B30" s="37" t="s">
        <v>204</v>
      </c>
      <c r="C30" s="37" t="s">
        <v>204</v>
      </c>
      <c r="D30" s="36" t="s">
        <v>205</v>
      </c>
      <c r="E30" s="37" t="s">
        <v>204</v>
      </c>
      <c r="F30" s="37" t="s">
        <v>204</v>
      </c>
    </row>
    <row r="31" spans="1:6" ht="19.5" customHeight="1" x14ac:dyDescent="0.35">
      <c r="A31" s="9" t="s">
        <v>229</v>
      </c>
      <c r="B31" s="35" t="s">
        <v>204</v>
      </c>
      <c r="C31" s="35" t="s">
        <v>204</v>
      </c>
      <c r="D31" s="36" t="s">
        <v>205</v>
      </c>
      <c r="E31" s="35" t="s">
        <v>204</v>
      </c>
      <c r="F31" s="35" t="s">
        <v>204</v>
      </c>
    </row>
    <row r="32" spans="1:6" ht="19.5" customHeight="1" x14ac:dyDescent="0.35">
      <c r="A32" s="4" t="s">
        <v>230</v>
      </c>
      <c r="B32" s="37" t="s">
        <v>204</v>
      </c>
      <c r="C32" s="37" t="s">
        <v>204</v>
      </c>
      <c r="D32" s="37" t="s">
        <v>204</v>
      </c>
      <c r="E32" s="36" t="s">
        <v>205</v>
      </c>
      <c r="F32" s="36" t="s">
        <v>205</v>
      </c>
    </row>
    <row r="33" spans="1:6" ht="19.5" customHeight="1" x14ac:dyDescent="0.35">
      <c r="A33" s="9" t="s">
        <v>231</v>
      </c>
      <c r="B33" s="36" t="s">
        <v>205</v>
      </c>
      <c r="C33" s="35" t="s">
        <v>204</v>
      </c>
      <c r="D33" s="35" t="s">
        <v>204</v>
      </c>
      <c r="E33" s="35" t="s">
        <v>204</v>
      </c>
      <c r="F33" s="35" t="s">
        <v>204</v>
      </c>
    </row>
    <row r="36" spans="1:6" ht="15" customHeight="1" x14ac:dyDescent="0.35">
      <c r="A36" s="65" t="s">
        <v>232</v>
      </c>
      <c r="B36" s="42"/>
      <c r="C36" s="42"/>
      <c r="D36" s="42"/>
      <c r="E36" s="42"/>
      <c r="F36" s="42"/>
    </row>
    <row r="37" spans="1:6" ht="27.75" customHeight="1" x14ac:dyDescent="0.35">
      <c r="A37" s="64" t="s">
        <v>233</v>
      </c>
      <c r="B37" s="42"/>
      <c r="C37" s="42"/>
      <c r="D37" s="42"/>
      <c r="E37" s="42"/>
      <c r="F37" s="42"/>
    </row>
    <row r="38" spans="1:6" ht="27.75" customHeight="1" x14ac:dyDescent="0.35">
      <c r="A38" s="63" t="s">
        <v>234</v>
      </c>
      <c r="B38" s="42"/>
      <c r="C38" s="42"/>
      <c r="D38" s="42"/>
      <c r="E38" s="42"/>
      <c r="F38" s="42"/>
    </row>
    <row r="39" spans="1:6" ht="27.75" customHeight="1" x14ac:dyDescent="0.35">
      <c r="A39" s="64" t="s">
        <v>235</v>
      </c>
      <c r="B39" s="42"/>
      <c r="C39" s="42"/>
      <c r="D39" s="42"/>
      <c r="E39" s="42"/>
      <c r="F39" s="42"/>
    </row>
    <row r="40" spans="1:6" ht="27.75" customHeight="1" x14ac:dyDescent="0.35">
      <c r="A40" s="63" t="s">
        <v>236</v>
      </c>
      <c r="B40" s="42"/>
      <c r="C40" s="42"/>
      <c r="D40" s="42"/>
      <c r="E40" s="42"/>
      <c r="F40" s="42"/>
    </row>
    <row r="41" spans="1:6" ht="27.75" customHeight="1" x14ac:dyDescent="0.35">
      <c r="A41" s="64" t="s">
        <v>237</v>
      </c>
      <c r="B41" s="42"/>
      <c r="C41" s="42"/>
      <c r="D41" s="42"/>
      <c r="E41" s="42"/>
      <c r="F41" s="42"/>
    </row>
  </sheetData>
  <mergeCells count="9">
    <mergeCell ref="A3:M3"/>
    <mergeCell ref="A40:F40"/>
    <mergeCell ref="A39:F39"/>
    <mergeCell ref="A2:M2"/>
    <mergeCell ref="A38:F38"/>
    <mergeCell ref="A41:F41"/>
    <mergeCell ref="A36:F36"/>
    <mergeCell ref="A5:F5"/>
    <mergeCell ref="A37:F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Pipeline</vt:lpstr>
      <vt:lpstr>KPI Summary</vt:lpstr>
      <vt:lpstr>Overdue &amp; Escalations</vt:lpstr>
      <vt:lpstr>Document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Maram Anusha</cp:lastModifiedBy>
  <cp:revision>0</cp:revision>
  <dcterms:created xsi:type="dcterms:W3CDTF">2026-06-18T13:47:13Z</dcterms:created>
  <dcterms:modified xsi:type="dcterms:W3CDTF">2026-06-18T14:38:54Z</dcterms:modified>
  <dc:language>en-US</dc:language>
</cp:coreProperties>
</file>